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342adcd37416e96/Documents/abhikshitbaruah_2511108_part1_data_cleaning/data/"/>
    </mc:Choice>
  </mc:AlternateContent>
  <xr:revisionPtr revIDLastSave="114" documentId="8_{9723CD0C-653C-41D8-B48D-B5513AD1FEE0}" xr6:coauthVersionLast="47" xr6:coauthVersionMax="47" xr10:uidLastSave="{653E25DB-2DE6-4A6A-BD93-EF90046FE7DC}"/>
  <bookViews>
    <workbookView xWindow="-120" yWindow="-120" windowWidth="20730" windowHeight="11040" xr2:uid="{00000000-000D-0000-FFFF-FFFF00000000}"/>
  </bookViews>
  <sheets>
    <sheet name="raw_orders" sheetId="1" r:id="rId1"/>
    <sheet name="business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1" l="1" a="1"/>
  <c r="Z4" i="1" a="1"/>
  <c r="Z5" i="1" a="1"/>
  <c r="Z6" i="1" a="1"/>
  <c r="Z7" i="1" a="1"/>
  <c r="Z8" i="1" a="1"/>
  <c r="Z9" i="1" a="1"/>
  <c r="Z10" i="1" a="1"/>
  <c r="Z11" i="1" a="1"/>
  <c r="Z12" i="1" a="1"/>
  <c r="Z13" i="1" a="1"/>
  <c r="Z14" i="1" a="1"/>
  <c r="Z15" i="1" a="1"/>
  <c r="Z16" i="1" a="1"/>
  <c r="Z17" i="1" a="1"/>
  <c r="Z18" i="1" a="1"/>
  <c r="Z19" i="1" a="1"/>
  <c r="Z20" i="1" a="1"/>
  <c r="Z21" i="1" a="1"/>
  <c r="Z22" i="1" a="1"/>
  <c r="Z23" i="1" a="1"/>
  <c r="Z24" i="1" a="1"/>
  <c r="Z25" i="1" a="1"/>
  <c r="Z26" i="1" a="1"/>
  <c r="Z27" i="1" a="1"/>
  <c r="Z28" i="1" a="1"/>
  <c r="Z29" i="1" a="1"/>
  <c r="Z30" i="1" a="1"/>
  <c r="Z31" i="1" a="1"/>
  <c r="Z32" i="1" a="1"/>
  <c r="Z33" i="1" a="1"/>
  <c r="Z34" i="1" a="1"/>
  <c r="Z35" i="1" a="1"/>
  <c r="Z36" i="1" a="1"/>
  <c r="Z37" i="1" a="1"/>
  <c r="Z38" i="1" a="1"/>
  <c r="Z39" i="1" a="1"/>
  <c r="Z40" i="1" a="1"/>
  <c r="Z41" i="1" a="1"/>
  <c r="Z42" i="1" a="1"/>
  <c r="Z43" i="1" a="1"/>
  <c r="Z44" i="1" a="1"/>
  <c r="Z45" i="1" a="1"/>
  <c r="Z46" i="1" a="1"/>
  <c r="Z47" i="1" a="1"/>
  <c r="Z48" i="1" a="1"/>
  <c r="Z49" i="1" a="1"/>
  <c r="Z50" i="1" a="1"/>
  <c r="Z51" i="1" a="1"/>
  <c r="Z52" i="1" a="1"/>
  <c r="Z53" i="1" a="1"/>
  <c r="Z54" i="1" a="1"/>
  <c r="Z55" i="1" a="1"/>
  <c r="Z56" i="1" a="1"/>
  <c r="Z57" i="1" a="1"/>
  <c r="Z58" i="1" a="1"/>
  <c r="Z59" i="1" a="1"/>
  <c r="Z60" i="1" a="1"/>
  <c r="Z61" i="1" a="1"/>
  <c r="Z62" i="1" a="1"/>
  <c r="Z63" i="1" a="1"/>
  <c r="Z64" i="1" a="1"/>
  <c r="Z65" i="1" a="1"/>
  <c r="Z66" i="1" a="1"/>
  <c r="Z67" i="1" a="1"/>
  <c r="Z68" i="1" a="1"/>
  <c r="Z69" i="1" a="1"/>
  <c r="Z70" i="1" a="1"/>
  <c r="Z71" i="1" a="1"/>
  <c r="Z72" i="1" a="1"/>
  <c r="Z73" i="1" a="1"/>
  <c r="Z74" i="1" a="1"/>
  <c r="Z75" i="1" a="1"/>
  <c r="Z76" i="1" a="1"/>
  <c r="Z77" i="1" a="1"/>
  <c r="Z78" i="1" a="1"/>
  <c r="Z79" i="1" a="1"/>
  <c r="Z80" i="1" a="1"/>
  <c r="Z81" i="1" a="1"/>
  <c r="Z82" i="1" a="1"/>
  <c r="Z83" i="1" a="1"/>
  <c r="Z84" i="1" a="1"/>
  <c r="Z85" i="1" a="1"/>
  <c r="Z86" i="1" a="1"/>
  <c r="Z87" i="1" a="1"/>
  <c r="Z88" i="1" a="1"/>
  <c r="Z89" i="1" a="1"/>
  <c r="Z90" i="1" a="1"/>
  <c r="Z91" i="1" a="1"/>
  <c r="Z92" i="1" a="1"/>
  <c r="Z93" i="1" a="1"/>
  <c r="Z94" i="1" a="1"/>
  <c r="Z95" i="1" a="1"/>
  <c r="Z96" i="1" a="1"/>
  <c r="Z97" i="1" a="1"/>
  <c r="Z98" i="1" a="1"/>
  <c r="Z99" i="1" a="1"/>
  <c r="Z100" i="1" a="1"/>
  <c r="Z101" i="1" a="1"/>
  <c r="Z102" i="1" a="1"/>
  <c r="Z103" i="1" a="1"/>
  <c r="Z104" i="1" a="1"/>
  <c r="Z105" i="1" a="1"/>
  <c r="Z106" i="1" a="1"/>
  <c r="Z107" i="1" a="1"/>
  <c r="Z108" i="1" a="1"/>
  <c r="Z109" i="1" a="1"/>
  <c r="Z110" i="1" a="1"/>
  <c r="Z111" i="1" a="1"/>
  <c r="Z112" i="1" a="1"/>
  <c r="Z113" i="1" a="1"/>
  <c r="Z114" i="1" a="1"/>
  <c r="Z115" i="1" a="1"/>
  <c r="Z116" i="1" a="1"/>
  <c r="Z117" i="1" a="1"/>
  <c r="Z118" i="1" a="1"/>
  <c r="Z119" i="1" a="1"/>
  <c r="Z120" i="1" a="1"/>
  <c r="Z121" i="1" a="1"/>
  <c r="Z122" i="1" a="1"/>
  <c r="Z123" i="1" a="1"/>
  <c r="Z124" i="1" a="1"/>
  <c r="Z125" i="1" a="1"/>
  <c r="Z126" i="1" a="1"/>
  <c r="Z127" i="1" a="1"/>
  <c r="Z128" i="1" a="1"/>
  <c r="Z129" i="1" a="1"/>
  <c r="Z130" i="1" a="1"/>
  <c r="Z131" i="1" a="1"/>
  <c r="Z132" i="1" a="1"/>
  <c r="Z133" i="1" a="1"/>
  <c r="Z134" i="1" a="1"/>
  <c r="Z135" i="1" a="1"/>
  <c r="Z136" i="1" a="1"/>
  <c r="Z137" i="1" a="1"/>
  <c r="Z138" i="1" a="1"/>
  <c r="Z139" i="1" a="1"/>
  <c r="Z140" i="1" a="1"/>
  <c r="Z141" i="1" a="1"/>
  <c r="Z142" i="1" a="1"/>
  <c r="Z143" i="1" a="1"/>
  <c r="Z144" i="1" a="1"/>
  <c r="Z145" i="1" a="1"/>
  <c r="Z146" i="1" a="1"/>
  <c r="Z147" i="1" a="1"/>
  <c r="Z148" i="1" a="1"/>
  <c r="Z149" i="1" a="1"/>
  <c r="Z150" i="1" a="1"/>
  <c r="Z151" i="1" a="1"/>
  <c r="Z152" i="1" a="1"/>
  <c r="Z153" i="1" a="1"/>
  <c r="Z154" i="1" a="1"/>
  <c r="Z155" i="1" a="1"/>
  <c r="Z156" i="1" a="1"/>
  <c r="Z157" i="1" a="1"/>
  <c r="Z158" i="1" a="1"/>
  <c r="Z159" i="1" a="1"/>
  <c r="Z160" i="1" a="1"/>
  <c r="Z161" i="1" a="1"/>
  <c r="Z162" i="1" a="1"/>
  <c r="Z163" i="1" a="1"/>
  <c r="Z164" i="1" a="1"/>
  <c r="Z165" i="1" a="1"/>
  <c r="Z166" i="1" a="1"/>
  <c r="Z167" i="1" a="1"/>
  <c r="Z168" i="1" a="1"/>
  <c r="Z169" i="1" a="1"/>
  <c r="Z170" i="1" a="1"/>
  <c r="Z171" i="1" a="1"/>
  <c r="Z172" i="1" a="1"/>
  <c r="Z173" i="1" a="1"/>
  <c r="Z174" i="1" a="1"/>
  <c r="Z175" i="1" a="1"/>
  <c r="Z176" i="1" a="1"/>
  <c r="Z177" i="1" a="1"/>
  <c r="Z178" i="1" a="1"/>
  <c r="Z179" i="1" a="1"/>
  <c r="Z180" i="1" a="1"/>
  <c r="Z181" i="1" a="1"/>
  <c r="Z182" i="1" a="1"/>
  <c r="Z183" i="1" a="1"/>
  <c r="Z184" i="1" a="1"/>
  <c r="Z185" i="1" a="1"/>
  <c r="Z186" i="1" a="1"/>
  <c r="Z187" i="1" a="1"/>
  <c r="Z188" i="1" a="1"/>
  <c r="Z189" i="1" a="1"/>
  <c r="Z190" i="1" a="1"/>
  <c r="Z191" i="1" a="1"/>
  <c r="Z192" i="1" a="1"/>
  <c r="Z193" i="1" a="1"/>
  <c r="Z194" i="1" a="1"/>
  <c r="Z195" i="1" a="1"/>
  <c r="Z196" i="1" a="1"/>
  <c r="Z197" i="1" a="1"/>
  <c r="Z198" i="1" a="1"/>
  <c r="Z199" i="1" a="1"/>
  <c r="Z200" i="1" a="1"/>
  <c r="Z201" i="1" a="1"/>
  <c r="Z202" i="1" a="1"/>
  <c r="Z203" i="1" a="1"/>
  <c r="Z204" i="1" a="1"/>
  <c r="Z205" i="1" a="1"/>
  <c r="Z206" i="1" a="1"/>
  <c r="Z207" i="1" a="1"/>
  <c r="Z208" i="1" a="1"/>
  <c r="Z209" i="1" a="1"/>
  <c r="Z210" i="1" a="1"/>
  <c r="Z211" i="1" a="1"/>
  <c r="Z212" i="1" a="1"/>
  <c r="Z213" i="1" a="1"/>
  <c r="Z214" i="1" a="1"/>
  <c r="Z215" i="1" a="1"/>
  <c r="Z216" i="1" a="1"/>
  <c r="Z217" i="1" a="1"/>
  <c r="Z218" i="1" a="1"/>
  <c r="Z219" i="1" a="1"/>
  <c r="Z220" i="1" a="1"/>
  <c r="Z221" i="1" a="1"/>
  <c r="Z222" i="1" a="1"/>
  <c r="Z223" i="1" a="1"/>
  <c r="Z224" i="1" a="1"/>
  <c r="Z225" i="1" a="1"/>
  <c r="Z226" i="1" a="1"/>
  <c r="Z227" i="1" a="1"/>
  <c r="Z228" i="1" a="1"/>
  <c r="Z229" i="1" a="1"/>
  <c r="Z230" i="1" a="1"/>
  <c r="Z231" i="1" a="1"/>
  <c r="Z232" i="1" a="1"/>
  <c r="Z233" i="1" a="1"/>
  <c r="Z234" i="1" a="1"/>
  <c r="Z235" i="1" a="1"/>
  <c r="Z236" i="1" a="1"/>
  <c r="Z237" i="1" a="1"/>
  <c r="Z238" i="1" a="1"/>
  <c r="Z239" i="1" a="1"/>
  <c r="Z240" i="1" a="1"/>
  <c r="Z241" i="1" a="1"/>
  <c r="Z242" i="1" a="1"/>
  <c r="Z243" i="1" a="1"/>
  <c r="Z244" i="1" a="1"/>
  <c r="Z245" i="1" a="1"/>
  <c r="Z246" i="1" a="1"/>
  <c r="Z247" i="1" a="1"/>
  <c r="Z248" i="1" a="1"/>
  <c r="Z249" i="1" a="1"/>
  <c r="Z250" i="1" a="1"/>
  <c r="Z251" i="1" a="1"/>
  <c r="Z252" i="1" a="1"/>
  <c r="Z253" i="1" a="1"/>
  <c r="Z254" i="1" a="1"/>
  <c r="Z255" i="1" a="1"/>
  <c r="Z256" i="1" a="1"/>
  <c r="Z257" i="1" a="1"/>
  <c r="Z258" i="1" a="1"/>
  <c r="Z259" i="1" a="1"/>
  <c r="Z260" i="1" a="1"/>
  <c r="Z261" i="1" a="1"/>
  <c r="Z262" i="1" a="1"/>
  <c r="Z263" i="1" a="1"/>
  <c r="Z264" i="1" a="1"/>
  <c r="Z265" i="1" a="1"/>
  <c r="Z266" i="1" a="1"/>
  <c r="Z267" i="1" a="1"/>
  <c r="Z268" i="1" a="1"/>
  <c r="Z269" i="1" a="1"/>
  <c r="Z270" i="1" a="1"/>
  <c r="Z271" i="1" a="1"/>
  <c r="Z272" i="1" a="1"/>
  <c r="Z273" i="1" a="1"/>
  <c r="Z274" i="1" a="1"/>
  <c r="Z275" i="1" a="1"/>
  <c r="Z276" i="1" a="1"/>
  <c r="Z277" i="1" a="1"/>
  <c r="Z278" i="1" a="1"/>
  <c r="Z279" i="1" a="1"/>
  <c r="Z280" i="1" a="1"/>
  <c r="Z281" i="1" a="1"/>
  <c r="Z282" i="1" a="1"/>
  <c r="Z283" i="1" a="1"/>
  <c r="Z284" i="1" a="1"/>
  <c r="Z285" i="1" a="1"/>
  <c r="Z286" i="1" a="1"/>
  <c r="Z287" i="1" a="1"/>
  <c r="Z288" i="1" a="1"/>
  <c r="Z289" i="1" a="1"/>
  <c r="Z290" i="1" a="1"/>
  <c r="Z291" i="1" a="1"/>
  <c r="Z292" i="1" a="1"/>
  <c r="Z293" i="1" a="1"/>
  <c r="Z294" i="1" a="1"/>
  <c r="Z295" i="1" a="1"/>
  <c r="Z296" i="1" a="1"/>
  <c r="Z297" i="1" a="1"/>
  <c r="Z298" i="1" a="1"/>
  <c r="Z299" i="1" a="1"/>
  <c r="Z300" i="1" a="1"/>
  <c r="Z301" i="1" a="1"/>
  <c r="Z302" i="1" a="1"/>
  <c r="Z303" i="1" a="1"/>
  <c r="Z304" i="1" a="1"/>
  <c r="Z305" i="1" a="1"/>
  <c r="Z306" i="1" a="1"/>
  <c r="Z307" i="1" a="1"/>
  <c r="Z308" i="1" a="1"/>
  <c r="Z309" i="1" a="1"/>
  <c r="Z310" i="1" a="1"/>
  <c r="Z311" i="1" a="1"/>
  <c r="Z312" i="1" a="1"/>
  <c r="Z313" i="1" a="1"/>
  <c r="Z314" i="1" a="1"/>
  <c r="Z315" i="1" a="1"/>
  <c r="Z316" i="1" a="1"/>
  <c r="Z317" i="1" a="1"/>
  <c r="Z318" i="1" a="1"/>
  <c r="Z319" i="1" a="1"/>
  <c r="Z320" i="1" a="1"/>
  <c r="Z321" i="1" a="1"/>
  <c r="Z322" i="1" a="1"/>
  <c r="Z323" i="1" a="1"/>
  <c r="Z324" i="1" a="1"/>
  <c r="Z325" i="1" a="1"/>
  <c r="Z326" i="1" a="1"/>
  <c r="Z327" i="1" a="1"/>
  <c r="Z328" i="1" a="1"/>
  <c r="Z329" i="1" a="1"/>
  <c r="Z330" i="1" a="1"/>
  <c r="Z331" i="1" a="1"/>
  <c r="Z332" i="1" a="1"/>
  <c r="Z333" i="1" a="1"/>
  <c r="Z334" i="1" a="1"/>
  <c r="Z335" i="1" a="1"/>
  <c r="Z336" i="1" a="1"/>
  <c r="Z337" i="1" a="1"/>
  <c r="Z338" i="1" a="1"/>
  <c r="Z339" i="1" a="1"/>
  <c r="Z340" i="1" a="1"/>
  <c r="Z341" i="1" a="1"/>
  <c r="Z342" i="1" a="1"/>
  <c r="Z343" i="1" a="1"/>
  <c r="Z344" i="1" a="1"/>
  <c r="Z345" i="1" a="1"/>
  <c r="Z346" i="1" a="1"/>
  <c r="Z347" i="1" a="1"/>
  <c r="Z348" i="1" a="1"/>
  <c r="Z349" i="1" a="1"/>
  <c r="Z350" i="1" a="1"/>
  <c r="Z351" i="1" a="1"/>
  <c r="Z352" i="1" a="1"/>
  <c r="Z353" i="1" a="1"/>
  <c r="Z354" i="1" a="1"/>
  <c r="Z355" i="1" a="1"/>
  <c r="Z356" i="1" a="1"/>
  <c r="Z357" i="1" a="1"/>
  <c r="Z358" i="1" a="1"/>
  <c r="Z359" i="1" a="1"/>
  <c r="Z360" i="1" a="1"/>
  <c r="Z361" i="1" a="1"/>
  <c r="Z362" i="1" a="1"/>
  <c r="Z363" i="1" a="1"/>
  <c r="Z364" i="1" a="1"/>
  <c r="Z365" i="1" a="1"/>
  <c r="Z366" i="1" a="1"/>
  <c r="Z367" i="1" a="1"/>
  <c r="Z368" i="1" a="1"/>
  <c r="Z369" i="1" a="1"/>
  <c r="Z370" i="1" a="1"/>
  <c r="Z371" i="1" a="1"/>
  <c r="Z372" i="1" a="1"/>
  <c r="Z373" i="1" a="1"/>
  <c r="Z374" i="1" a="1"/>
  <c r="Z375" i="1" a="1"/>
  <c r="Z376" i="1" a="1"/>
  <c r="Z377" i="1" a="1"/>
  <c r="Z378" i="1" a="1"/>
  <c r="Z379" i="1" a="1"/>
  <c r="Z380" i="1" a="1"/>
  <c r="Z381" i="1" a="1"/>
  <c r="Z382" i="1" a="1"/>
  <c r="Z383" i="1" a="1"/>
  <c r="Z384" i="1" a="1"/>
  <c r="Z385" i="1" a="1"/>
  <c r="Z386" i="1" a="1"/>
  <c r="Z387" i="1" a="1"/>
  <c r="Z388" i="1" a="1"/>
  <c r="Z389" i="1" a="1"/>
  <c r="Z390" i="1" a="1"/>
  <c r="Z391" i="1" a="1"/>
  <c r="Z392" i="1" a="1"/>
  <c r="Z393" i="1" a="1"/>
  <c r="Z394" i="1" a="1"/>
  <c r="Z395" i="1" a="1"/>
  <c r="Z396" i="1" a="1"/>
  <c r="Z397" i="1" a="1"/>
  <c r="Z398" i="1" a="1"/>
  <c r="Z399" i="1" a="1"/>
  <c r="Z400" i="1" a="1"/>
  <c r="Z401" i="1" a="1"/>
  <c r="Z402" i="1" a="1"/>
  <c r="Z403" i="1" a="1"/>
  <c r="Z404" i="1" a="1"/>
  <c r="Z405" i="1" a="1"/>
  <c r="Z406" i="1" a="1"/>
  <c r="Z407" i="1" a="1"/>
  <c r="Z408" i="1" a="1"/>
  <c r="Z409" i="1" a="1"/>
  <c r="Z410" i="1" a="1"/>
  <c r="Z411" i="1" a="1"/>
  <c r="Z412" i="1" a="1"/>
  <c r="Z413" i="1" a="1"/>
  <c r="Z414" i="1" a="1"/>
  <c r="Z415" i="1" a="1"/>
  <c r="Z416" i="1" a="1"/>
  <c r="Z417" i="1" a="1"/>
  <c r="Z418" i="1" a="1"/>
  <c r="Z419" i="1" a="1"/>
  <c r="Z420" i="1" a="1"/>
  <c r="Z421" i="1" a="1"/>
  <c r="Z422" i="1" a="1"/>
  <c r="Z423" i="1" a="1"/>
  <c r="Z424" i="1" a="1"/>
  <c r="Z425" i="1" a="1"/>
  <c r="Z426" i="1" a="1"/>
  <c r="Z427" i="1" a="1"/>
  <c r="Z428" i="1" a="1"/>
  <c r="Z429" i="1" a="1"/>
  <c r="Z430" i="1" a="1"/>
  <c r="Z431" i="1" a="1"/>
  <c r="Z432" i="1" a="1"/>
  <c r="Z433" i="1" a="1"/>
  <c r="Z434" i="1" a="1"/>
  <c r="Z435" i="1" a="1"/>
  <c r="Z436" i="1" a="1"/>
  <c r="Z437" i="1" a="1"/>
  <c r="Z438" i="1" a="1"/>
  <c r="Z439" i="1" a="1"/>
  <c r="Z440" i="1" a="1"/>
  <c r="Z441" i="1" a="1"/>
  <c r="Z442" i="1" a="1"/>
  <c r="Z443" i="1" a="1"/>
  <c r="Z444" i="1" a="1"/>
  <c r="Z445" i="1" a="1"/>
  <c r="Z446" i="1" a="1"/>
  <c r="Z447" i="1" a="1"/>
  <c r="Z448" i="1" a="1"/>
  <c r="Z449" i="1" a="1"/>
  <c r="Z450" i="1" a="1"/>
  <c r="Z451" i="1" a="1"/>
  <c r="Z452" i="1" a="1"/>
  <c r="Z453" i="1" a="1"/>
  <c r="Z454" i="1" a="1"/>
  <c r="Z455" i="1" a="1"/>
  <c r="Z456" i="1" a="1"/>
  <c r="Z457" i="1" a="1"/>
  <c r="Z458" i="1" a="1"/>
  <c r="Z459" i="1" a="1"/>
  <c r="Z460" i="1" a="1"/>
  <c r="Z461" i="1" a="1"/>
  <c r="Z462" i="1" a="1"/>
  <c r="Z463" i="1" a="1"/>
  <c r="Z464" i="1" a="1"/>
  <c r="Z465" i="1" a="1"/>
  <c r="Z466" i="1" a="1"/>
  <c r="Z467" i="1" a="1"/>
  <c r="Z468" i="1" a="1"/>
  <c r="Z469" i="1" a="1"/>
  <c r="Z470" i="1" a="1"/>
  <c r="Z471" i="1" a="1"/>
  <c r="Z472" i="1" a="1"/>
  <c r="Z473" i="1" a="1"/>
  <c r="Z474" i="1" a="1"/>
  <c r="Z475" i="1" a="1"/>
  <c r="Z476" i="1" a="1"/>
  <c r="Z477" i="1" a="1"/>
  <c r="Z478" i="1" a="1"/>
  <c r="Z479" i="1" a="1"/>
  <c r="Z480" i="1" a="1"/>
  <c r="Z481" i="1" a="1"/>
  <c r="Z482" i="1" a="1"/>
  <c r="Z483" i="1" a="1"/>
  <c r="Z484" i="1" a="1"/>
  <c r="Z485" i="1" a="1"/>
  <c r="Z486" i="1" a="1"/>
  <c r="Z487" i="1" a="1"/>
  <c r="Z488" i="1" a="1"/>
  <c r="Z489" i="1" a="1"/>
  <c r="Z490" i="1" a="1"/>
  <c r="Z491" i="1" a="1"/>
  <c r="Z492" i="1" a="1"/>
  <c r="Z493" i="1" a="1"/>
  <c r="Z494" i="1" a="1"/>
  <c r="Z495" i="1" a="1"/>
  <c r="Z496" i="1" a="1"/>
  <c r="Z497" i="1" a="1"/>
  <c r="Z498" i="1" a="1"/>
  <c r="Z499" i="1" a="1"/>
  <c r="Z500" i="1" a="1"/>
  <c r="Z501" i="1" a="1"/>
  <c r="Z502" i="1" a="1"/>
  <c r="Z503" i="1" a="1"/>
  <c r="Z504" i="1" a="1"/>
  <c r="Z505" i="1" a="1"/>
  <c r="Z506" i="1" a="1"/>
  <c r="Z507" i="1" a="1"/>
  <c r="Z508" i="1" a="1"/>
  <c r="Z509" i="1" a="1"/>
  <c r="Z510" i="1" a="1"/>
  <c r="Z511" i="1" a="1"/>
  <c r="Z512" i="1" a="1"/>
  <c r="Z513" i="1" a="1"/>
  <c r="Z514" i="1" a="1"/>
  <c r="Z515" i="1" a="1"/>
  <c r="Z516" i="1" a="1"/>
  <c r="Z517" i="1" a="1"/>
  <c r="Z518" i="1" a="1"/>
  <c r="Z519" i="1" a="1"/>
  <c r="Z520" i="1" a="1"/>
  <c r="Z521" i="1" a="1"/>
  <c r="Z522" i="1" a="1"/>
  <c r="Z523" i="1" a="1"/>
  <c r="Z524" i="1" a="1"/>
  <c r="Z525" i="1" a="1"/>
  <c r="Z526" i="1" a="1"/>
  <c r="Z527" i="1" a="1"/>
  <c r="Z528" i="1" a="1"/>
  <c r="Z529" i="1" a="1"/>
  <c r="Z530" i="1" a="1"/>
  <c r="Z531" i="1" a="1"/>
  <c r="Z532" i="1" a="1"/>
  <c r="Z533" i="1" a="1"/>
  <c r="Z534" i="1" a="1"/>
  <c r="Z535" i="1" a="1"/>
  <c r="Z536" i="1" a="1"/>
  <c r="Z537" i="1" a="1"/>
  <c r="Z538" i="1" a="1"/>
  <c r="Z539" i="1" a="1"/>
  <c r="Z540" i="1" a="1"/>
  <c r="Z541" i="1" a="1"/>
  <c r="Z542" i="1" a="1"/>
  <c r="Z543" i="1" a="1"/>
  <c r="Z544" i="1" a="1"/>
  <c r="Z545" i="1" a="1"/>
  <c r="Z546" i="1" a="1"/>
  <c r="Z547" i="1" a="1"/>
  <c r="Z548" i="1" a="1"/>
  <c r="Z549" i="1" a="1"/>
  <c r="Z550" i="1" a="1"/>
  <c r="Z551" i="1" a="1"/>
  <c r="Z552" i="1" a="1"/>
  <c r="Z553" i="1" a="1"/>
  <c r="Z554" i="1" a="1"/>
  <c r="Z555" i="1" a="1"/>
  <c r="Z556" i="1" a="1"/>
  <c r="Z557" i="1" a="1"/>
  <c r="Z558" i="1" a="1"/>
  <c r="Z559" i="1" a="1"/>
  <c r="Z560" i="1" a="1"/>
  <c r="Z561" i="1" a="1"/>
  <c r="Z562" i="1" a="1"/>
  <c r="Z563" i="1" a="1"/>
  <c r="Z564" i="1" a="1"/>
  <c r="Z565" i="1" a="1"/>
  <c r="Z566" i="1" a="1"/>
  <c r="Z567" i="1" a="1"/>
  <c r="Z568" i="1" a="1"/>
  <c r="Z569" i="1" a="1"/>
  <c r="Z570" i="1" a="1"/>
  <c r="Z571" i="1" a="1"/>
  <c r="Z572" i="1" a="1"/>
  <c r="Z573" i="1" a="1"/>
  <c r="Z574" i="1" a="1"/>
  <c r="Z575" i="1" a="1"/>
  <c r="Z576" i="1" a="1"/>
  <c r="Z577" i="1" a="1"/>
  <c r="Z578" i="1" a="1"/>
  <c r="Z579" i="1" a="1"/>
  <c r="Z580" i="1" a="1"/>
  <c r="Z581" i="1" a="1"/>
  <c r="Z582" i="1" a="1"/>
  <c r="Z583" i="1" a="1"/>
  <c r="Z584" i="1" a="1"/>
  <c r="Z585" i="1" a="1"/>
  <c r="Z586" i="1" a="1"/>
  <c r="Z587" i="1" a="1"/>
  <c r="Z588" i="1" a="1"/>
  <c r="Z589" i="1" a="1"/>
  <c r="Z590" i="1" a="1"/>
  <c r="Z591" i="1" a="1"/>
  <c r="Z592" i="1" a="1"/>
  <c r="Z593" i="1" a="1"/>
  <c r="Z594" i="1" a="1"/>
  <c r="Z595" i="1" a="1"/>
  <c r="Z596" i="1" a="1"/>
  <c r="Z597" i="1" a="1"/>
  <c r="Z598" i="1" a="1"/>
  <c r="Z599" i="1" a="1"/>
  <c r="Z600" i="1" a="1"/>
  <c r="Z601" i="1" a="1"/>
  <c r="Z602" i="1" a="1"/>
  <c r="Z603" i="1" a="1"/>
  <c r="Z604" i="1" a="1"/>
  <c r="Z605" i="1" a="1"/>
  <c r="Z606" i="1" a="1"/>
  <c r="Z607" i="1" a="1"/>
  <c r="Z608" i="1" a="1"/>
  <c r="Z609" i="1" a="1"/>
  <c r="Z610" i="1" a="1"/>
  <c r="Z611" i="1" a="1"/>
  <c r="Z612" i="1" a="1"/>
  <c r="Z613" i="1" a="1"/>
  <c r="Z614" i="1" a="1"/>
  <c r="Z615" i="1" a="1"/>
  <c r="Z616" i="1" a="1"/>
  <c r="Z617" i="1" a="1"/>
  <c r="Z618" i="1" a="1"/>
  <c r="Z619" i="1" a="1"/>
  <c r="Z620" i="1" a="1"/>
  <c r="Z621" i="1" a="1"/>
  <c r="Z622" i="1" a="1"/>
  <c r="Z623" i="1" a="1"/>
  <c r="Z624" i="1" a="1"/>
  <c r="Z625" i="1" a="1"/>
  <c r="Z626" i="1" a="1"/>
  <c r="Z627" i="1" a="1"/>
  <c r="Z628" i="1" a="1"/>
  <c r="Z629" i="1" a="1"/>
  <c r="Z630" i="1" a="1"/>
  <c r="Z631" i="1" a="1"/>
  <c r="Z632" i="1" a="1"/>
  <c r="Z633" i="1" a="1"/>
  <c r="Z634" i="1" a="1"/>
  <c r="Z635" i="1" a="1"/>
  <c r="Z636" i="1" a="1"/>
  <c r="Z637" i="1" a="1"/>
  <c r="Z638" i="1" a="1"/>
  <c r="Z639" i="1" a="1"/>
  <c r="Z640" i="1" a="1"/>
  <c r="Z641" i="1" a="1"/>
  <c r="Z642" i="1" a="1"/>
  <c r="Z643" i="1" a="1"/>
  <c r="Z644" i="1" a="1"/>
  <c r="Z645" i="1" a="1"/>
  <c r="Z646" i="1" a="1"/>
  <c r="Z647" i="1" a="1"/>
  <c r="Z648" i="1" a="1"/>
  <c r="Z649" i="1" a="1"/>
  <c r="Z650" i="1" a="1"/>
  <c r="Z651" i="1" a="1"/>
  <c r="Z652" i="1" a="1"/>
  <c r="Z653" i="1" a="1"/>
  <c r="Z654" i="1" a="1"/>
  <c r="Z655" i="1" a="1"/>
  <c r="Z656" i="1" a="1"/>
  <c r="Z657" i="1" a="1"/>
  <c r="Z658" i="1" a="1"/>
  <c r="Z659" i="1" a="1"/>
  <c r="Z660" i="1" a="1"/>
  <c r="Z661" i="1" a="1"/>
  <c r="Z662" i="1" a="1"/>
  <c r="Z663" i="1" a="1"/>
  <c r="Z664" i="1" a="1"/>
  <c r="Z665" i="1" a="1"/>
  <c r="Z666" i="1" a="1"/>
  <c r="Z667" i="1" a="1"/>
  <c r="Z668" i="1" a="1"/>
  <c r="Z669" i="1" a="1"/>
  <c r="Z670" i="1" a="1"/>
  <c r="Z671" i="1" a="1"/>
  <c r="Z672" i="1" a="1"/>
  <c r="Z673" i="1" a="1"/>
  <c r="Z674" i="1" a="1"/>
  <c r="Z675" i="1" a="1"/>
  <c r="Z676" i="1" a="1"/>
  <c r="Z677" i="1" a="1"/>
  <c r="Z678" i="1" a="1"/>
  <c r="Z679" i="1" a="1"/>
  <c r="Z680" i="1" a="1"/>
  <c r="Z681" i="1" a="1"/>
  <c r="Z682" i="1" a="1"/>
  <c r="Z683" i="1" a="1"/>
  <c r="Z684" i="1" a="1"/>
  <c r="Z685" i="1" a="1"/>
  <c r="Z686" i="1" a="1"/>
  <c r="Z687" i="1" a="1"/>
  <c r="Z688" i="1" a="1"/>
  <c r="Z689" i="1" a="1"/>
  <c r="Z690" i="1" a="1"/>
  <c r="Z691" i="1" a="1"/>
  <c r="Z692" i="1" a="1"/>
  <c r="Z693" i="1" a="1"/>
  <c r="Z694" i="1" a="1"/>
  <c r="Z695" i="1" a="1"/>
  <c r="Z696" i="1" a="1"/>
  <c r="Z697" i="1" a="1"/>
  <c r="Z698" i="1" a="1"/>
  <c r="Z699" i="1" a="1"/>
  <c r="Z700" i="1" a="1"/>
  <c r="Z701" i="1" a="1"/>
  <c r="Z702" i="1" a="1"/>
  <c r="Z703" i="1" a="1"/>
  <c r="Z704" i="1" a="1"/>
  <c r="Z705" i="1" a="1"/>
  <c r="Z706" i="1" a="1"/>
  <c r="Z707" i="1" a="1"/>
  <c r="Z708" i="1" a="1"/>
  <c r="Z709" i="1" a="1"/>
  <c r="Z710" i="1" a="1"/>
  <c r="Z711" i="1" a="1"/>
  <c r="Z712" i="1" a="1"/>
  <c r="Z713" i="1" a="1"/>
  <c r="Z714" i="1" a="1"/>
  <c r="Z715" i="1" a="1"/>
  <c r="Z716" i="1" a="1"/>
  <c r="Z717" i="1" a="1"/>
  <c r="Z718" i="1" a="1"/>
  <c r="Z719" i="1" a="1"/>
  <c r="Z720" i="1" a="1"/>
  <c r="Z721" i="1" a="1"/>
  <c r="Z722" i="1" a="1"/>
  <c r="Z723" i="1" a="1"/>
  <c r="Z724" i="1" a="1"/>
  <c r="Z725" i="1" a="1"/>
  <c r="Z726" i="1" a="1"/>
  <c r="Z727" i="1" a="1"/>
  <c r="Z728" i="1" a="1"/>
  <c r="Z729" i="1" a="1"/>
  <c r="Z730" i="1" a="1"/>
  <c r="Z731" i="1" a="1"/>
  <c r="Z732" i="1" a="1"/>
  <c r="Z733" i="1" a="1"/>
  <c r="Z734" i="1" a="1"/>
  <c r="Z735" i="1" a="1"/>
  <c r="Z736" i="1" a="1"/>
  <c r="Z737" i="1" a="1"/>
  <c r="Z738" i="1" a="1"/>
  <c r="Z739" i="1" a="1"/>
  <c r="Z740" i="1" a="1"/>
  <c r="Z741" i="1" a="1"/>
  <c r="Z742" i="1" a="1"/>
  <c r="Z743" i="1" a="1"/>
  <c r="Z744" i="1" a="1"/>
  <c r="Z745" i="1" a="1"/>
  <c r="Z746" i="1" a="1"/>
  <c r="Z747" i="1" a="1"/>
  <c r="Z748" i="1" a="1"/>
  <c r="Z749" i="1" a="1"/>
  <c r="Z750" i="1" a="1"/>
  <c r="Z751" i="1" a="1"/>
  <c r="Z752" i="1" a="1"/>
  <c r="Z753" i="1" a="1"/>
  <c r="Z754" i="1" a="1"/>
  <c r="Z755" i="1" a="1"/>
  <c r="Z756" i="1" a="1"/>
  <c r="Z757" i="1" a="1"/>
  <c r="Z758" i="1" a="1"/>
  <c r="Z759" i="1" a="1"/>
  <c r="Z760" i="1" a="1"/>
  <c r="Z761" i="1" a="1"/>
  <c r="Z762" i="1" a="1"/>
  <c r="Z763" i="1" a="1"/>
  <c r="Z764" i="1" a="1"/>
  <c r="Z765" i="1" a="1"/>
  <c r="Z766" i="1" a="1"/>
  <c r="Z767" i="1" a="1"/>
  <c r="Z768" i="1" a="1"/>
  <c r="Z769" i="1" a="1"/>
  <c r="Z770" i="1" a="1"/>
  <c r="Z771" i="1" a="1"/>
  <c r="Z772" i="1" a="1"/>
  <c r="Z773" i="1" a="1"/>
  <c r="Z774" i="1" a="1"/>
  <c r="Z775" i="1" a="1"/>
  <c r="Z776" i="1" a="1"/>
  <c r="Z777" i="1" a="1"/>
  <c r="Z778" i="1" a="1"/>
  <c r="Z779" i="1" a="1"/>
  <c r="Z780" i="1" a="1"/>
  <c r="Z781" i="1" a="1"/>
  <c r="Z782" i="1" a="1"/>
  <c r="Z783" i="1" a="1"/>
  <c r="Z784" i="1" a="1"/>
  <c r="Z785" i="1" a="1"/>
  <c r="Z786" i="1" a="1"/>
  <c r="Z787" i="1" a="1"/>
  <c r="Z788" i="1" a="1"/>
  <c r="Z789" i="1" a="1"/>
  <c r="Z790" i="1" a="1"/>
  <c r="Z791" i="1" a="1"/>
  <c r="Z792" i="1" a="1"/>
  <c r="Z793" i="1" a="1"/>
  <c r="Z794" i="1" a="1"/>
  <c r="Z795" i="1" a="1"/>
  <c r="Z796" i="1" a="1"/>
  <c r="Z797" i="1" a="1"/>
  <c r="Z798" i="1" a="1"/>
  <c r="Z799" i="1" a="1"/>
  <c r="Z800" i="1" a="1"/>
  <c r="Z801" i="1" a="1"/>
  <c r="Z802" i="1" a="1"/>
  <c r="Z803" i="1" a="1"/>
  <c r="Z804" i="1" a="1"/>
  <c r="Z805" i="1" a="1"/>
  <c r="Z806" i="1" a="1"/>
  <c r="Z807" i="1" a="1"/>
  <c r="Z808" i="1" a="1"/>
  <c r="Z809" i="1" a="1"/>
  <c r="Z810" i="1" a="1"/>
  <c r="Z811" i="1" a="1"/>
  <c r="Z812" i="1" a="1"/>
  <c r="Z813" i="1" a="1"/>
  <c r="Z814" i="1" a="1"/>
  <c r="Z815" i="1" a="1"/>
  <c r="Z816" i="1" a="1"/>
  <c r="Z817" i="1" a="1"/>
  <c r="Z818" i="1" a="1"/>
  <c r="Z819" i="1" a="1"/>
  <c r="Z820" i="1" a="1"/>
  <c r="Z821" i="1" a="1"/>
  <c r="Z822" i="1" a="1"/>
  <c r="Z823" i="1" a="1"/>
  <c r="Z824" i="1" a="1"/>
  <c r="Z825" i="1" a="1"/>
  <c r="Z826" i="1" a="1"/>
  <c r="Z827" i="1" a="1"/>
  <c r="Z828" i="1" a="1"/>
  <c r="Z829" i="1" a="1"/>
  <c r="Z830" i="1" a="1"/>
  <c r="Z831" i="1" a="1"/>
  <c r="Z832" i="1" a="1"/>
  <c r="Z833" i="1" a="1"/>
  <c r="Z834" i="1" a="1"/>
  <c r="Z835" i="1" a="1"/>
  <c r="Z836" i="1" a="1"/>
  <c r="Z837" i="1" a="1"/>
  <c r="Z838" i="1" a="1"/>
  <c r="Z839" i="1" a="1"/>
  <c r="Z840" i="1" a="1"/>
  <c r="Z841" i="1" a="1"/>
  <c r="Z842" i="1" a="1"/>
  <c r="Z843" i="1" a="1"/>
  <c r="Z844" i="1" a="1"/>
  <c r="Z845" i="1" a="1"/>
  <c r="Z846" i="1" a="1"/>
  <c r="Z847" i="1" a="1"/>
  <c r="Z848" i="1" a="1"/>
  <c r="Z849" i="1" a="1"/>
  <c r="Z850" i="1" a="1"/>
  <c r="Z851" i="1" a="1"/>
  <c r="Z852" i="1" a="1"/>
  <c r="Z853" i="1" a="1"/>
  <c r="Z854" i="1" a="1"/>
  <c r="Z855" i="1" a="1"/>
  <c r="Z856" i="1" a="1"/>
  <c r="Z857" i="1" a="1"/>
  <c r="Z858" i="1" a="1"/>
  <c r="Z859" i="1" a="1"/>
  <c r="Z860" i="1" a="1"/>
  <c r="Z861" i="1" a="1"/>
  <c r="Z862" i="1" a="1"/>
  <c r="Z863" i="1" a="1"/>
  <c r="Z864" i="1" a="1"/>
  <c r="Z865" i="1" a="1"/>
  <c r="Z866" i="1" a="1"/>
  <c r="Z867" i="1" a="1"/>
  <c r="Z868" i="1" a="1"/>
  <c r="Z869" i="1" a="1"/>
  <c r="Z870" i="1" a="1"/>
  <c r="Z871" i="1" a="1"/>
  <c r="Z872" i="1" a="1"/>
  <c r="Z873" i="1" a="1"/>
  <c r="Z874" i="1" a="1"/>
  <c r="Z875" i="1" a="1"/>
  <c r="Z876" i="1" a="1"/>
  <c r="Z877" i="1" a="1"/>
  <c r="Z878" i="1" a="1"/>
  <c r="Z879" i="1" a="1"/>
  <c r="Z880" i="1" a="1"/>
  <c r="Z881" i="1" a="1"/>
  <c r="Z882" i="1" a="1"/>
  <c r="Z883" i="1" a="1"/>
  <c r="Z884" i="1" a="1"/>
  <c r="Z885" i="1" a="1"/>
  <c r="Z886" i="1" a="1"/>
  <c r="Z887" i="1" a="1"/>
  <c r="Z888" i="1" a="1"/>
  <c r="Z889" i="1" a="1"/>
  <c r="Z890" i="1" a="1"/>
  <c r="Z891" i="1" a="1"/>
  <c r="Z892" i="1" a="1"/>
  <c r="Z893" i="1" a="1"/>
  <c r="Z894" i="1" a="1"/>
  <c r="Z895" i="1" a="1"/>
  <c r="Z896" i="1" a="1"/>
  <c r="Z897" i="1" a="1"/>
  <c r="Z898" i="1" a="1"/>
  <c r="Z899" i="1" a="1"/>
  <c r="Z900" i="1" a="1"/>
  <c r="Z901" i="1" a="1"/>
  <c r="Z902" i="1" a="1"/>
  <c r="Z903" i="1" a="1"/>
  <c r="Z904" i="1" a="1"/>
  <c r="Z905" i="1" a="1"/>
  <c r="Z906" i="1" a="1"/>
  <c r="Z907" i="1" a="1"/>
  <c r="Z908" i="1" a="1"/>
  <c r="Z909" i="1" a="1"/>
  <c r="Z910" i="1" a="1"/>
  <c r="Z911" i="1" a="1"/>
  <c r="Z912" i="1" a="1"/>
  <c r="Z913" i="1" a="1"/>
  <c r="Z914" i="1" a="1"/>
  <c r="Z915" i="1" a="1"/>
  <c r="Z916" i="1" a="1"/>
  <c r="Z917" i="1" a="1"/>
  <c r="Z918" i="1" a="1"/>
  <c r="Z919" i="1" a="1"/>
  <c r="Z920" i="1" a="1"/>
  <c r="Z921" i="1" a="1"/>
  <c r="Z922" i="1" a="1"/>
  <c r="Z923" i="1" a="1"/>
  <c r="Z924" i="1" a="1"/>
  <c r="Z925" i="1" a="1"/>
  <c r="Z926" i="1" a="1"/>
  <c r="Z927" i="1" a="1"/>
  <c r="Z928" i="1" a="1"/>
  <c r="Z929" i="1" a="1"/>
  <c r="Z930" i="1" a="1"/>
  <c r="Z931" i="1" a="1"/>
  <c r="Z932" i="1" a="1"/>
  <c r="Z933" i="1" a="1"/>
  <c r="Z2" i="1" a="1"/>
  <c r="Y3" i="1"/>
  <c r="Y4" i="1"/>
  <c r="Y5" i="1"/>
  <c r="Y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2" i="1"/>
  <c r="W3" i="1" l="1"/>
  <c r="X3" i="1" s="1"/>
  <c r="W4" i="1"/>
  <c r="X4" i="1" s="1"/>
  <c r="W5" i="1"/>
  <c r="X5" i="1" s="1"/>
  <c r="W6" i="1"/>
  <c r="X6" i="1" s="1"/>
  <c r="W7" i="1"/>
  <c r="X7" i="1" s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X59" i="1" s="1"/>
  <c r="W60" i="1"/>
  <c r="X60" i="1" s="1"/>
  <c r="W61" i="1"/>
  <c r="X61" i="1" s="1"/>
  <c r="W62" i="1"/>
  <c r="X62" i="1" s="1"/>
  <c r="W63" i="1"/>
  <c r="X63" i="1" s="1"/>
  <c r="W64" i="1"/>
  <c r="X64" i="1" s="1"/>
  <c r="W65" i="1"/>
  <c r="X65" i="1" s="1"/>
  <c r="W66" i="1"/>
  <c r="X66" i="1" s="1"/>
  <c r="W67" i="1"/>
  <c r="X67" i="1" s="1"/>
  <c r="W68" i="1"/>
  <c r="X68" i="1" s="1"/>
  <c r="W69" i="1"/>
  <c r="X69" i="1" s="1"/>
  <c r="W70" i="1"/>
  <c r="X70" i="1" s="1"/>
  <c r="W71" i="1"/>
  <c r="X71" i="1" s="1"/>
  <c r="W72" i="1"/>
  <c r="X72" i="1" s="1"/>
  <c r="W73" i="1"/>
  <c r="X73" i="1" s="1"/>
  <c r="W74" i="1"/>
  <c r="X74" i="1" s="1"/>
  <c r="W75" i="1"/>
  <c r="X75" i="1" s="1"/>
  <c r="W76" i="1"/>
  <c r="X76" i="1" s="1"/>
  <c r="W77" i="1"/>
  <c r="X77" i="1" s="1"/>
  <c r="W78" i="1"/>
  <c r="X78" i="1" s="1"/>
  <c r="W79" i="1"/>
  <c r="X79" i="1" s="1"/>
  <c r="W80" i="1"/>
  <c r="X80" i="1" s="1"/>
  <c r="W81" i="1"/>
  <c r="X81" i="1" s="1"/>
  <c r="W82" i="1"/>
  <c r="X82" i="1" s="1"/>
  <c r="W83" i="1"/>
  <c r="X83" i="1" s="1"/>
  <c r="W84" i="1"/>
  <c r="X84" i="1" s="1"/>
  <c r="W85" i="1"/>
  <c r="X85" i="1" s="1"/>
  <c r="W86" i="1"/>
  <c r="X86" i="1" s="1"/>
  <c r="W87" i="1"/>
  <c r="X87" i="1" s="1"/>
  <c r="W88" i="1"/>
  <c r="X88" i="1" s="1"/>
  <c r="W89" i="1"/>
  <c r="X89" i="1" s="1"/>
  <c r="W90" i="1"/>
  <c r="X90" i="1" s="1"/>
  <c r="W91" i="1"/>
  <c r="X91" i="1" s="1"/>
  <c r="W92" i="1"/>
  <c r="X92" i="1" s="1"/>
  <c r="W93" i="1"/>
  <c r="X93" i="1" s="1"/>
  <c r="W94" i="1"/>
  <c r="X94" i="1" s="1"/>
  <c r="W95" i="1"/>
  <c r="X95" i="1" s="1"/>
  <c r="W96" i="1"/>
  <c r="X96" i="1" s="1"/>
  <c r="W97" i="1"/>
  <c r="X97" i="1" s="1"/>
  <c r="W98" i="1"/>
  <c r="X98" i="1" s="1"/>
  <c r="W99" i="1"/>
  <c r="X99" i="1" s="1"/>
  <c r="W100" i="1"/>
  <c r="X100" i="1" s="1"/>
  <c r="W101" i="1"/>
  <c r="X101" i="1" s="1"/>
  <c r="W102" i="1"/>
  <c r="X102" i="1" s="1"/>
  <c r="W103" i="1"/>
  <c r="X103" i="1" s="1"/>
  <c r="W104" i="1"/>
  <c r="X104" i="1" s="1"/>
  <c r="W105" i="1"/>
  <c r="X105" i="1" s="1"/>
  <c r="W106" i="1"/>
  <c r="X106" i="1" s="1"/>
  <c r="W107" i="1"/>
  <c r="X107" i="1" s="1"/>
  <c r="W108" i="1"/>
  <c r="X108" i="1" s="1"/>
  <c r="W109" i="1"/>
  <c r="X109" i="1" s="1"/>
  <c r="W110" i="1"/>
  <c r="X110" i="1" s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X116" i="1" s="1"/>
  <c r="W117" i="1"/>
  <c r="X117" i="1" s="1"/>
  <c r="W118" i="1"/>
  <c r="X118" i="1" s="1"/>
  <c r="W119" i="1"/>
  <c r="X119" i="1" s="1"/>
  <c r="W120" i="1"/>
  <c r="X120" i="1" s="1"/>
  <c r="W121" i="1"/>
  <c r="X121" i="1" s="1"/>
  <c r="W122" i="1"/>
  <c r="X122" i="1" s="1"/>
  <c r="W123" i="1"/>
  <c r="X123" i="1" s="1"/>
  <c r="W124" i="1"/>
  <c r="X124" i="1" s="1"/>
  <c r="W125" i="1"/>
  <c r="X125" i="1" s="1"/>
  <c r="W126" i="1"/>
  <c r="X126" i="1" s="1"/>
  <c r="W127" i="1"/>
  <c r="X127" i="1" s="1"/>
  <c r="W128" i="1"/>
  <c r="X128" i="1" s="1"/>
  <c r="W129" i="1"/>
  <c r="X129" i="1" s="1"/>
  <c r="W130" i="1"/>
  <c r="X130" i="1" s="1"/>
  <c r="W131" i="1"/>
  <c r="X131" i="1" s="1"/>
  <c r="W132" i="1"/>
  <c r="X132" i="1" s="1"/>
  <c r="W133" i="1"/>
  <c r="X133" i="1" s="1"/>
  <c r="W134" i="1"/>
  <c r="X134" i="1" s="1"/>
  <c r="W135" i="1"/>
  <c r="X135" i="1" s="1"/>
  <c r="W136" i="1"/>
  <c r="X136" i="1" s="1"/>
  <c r="W137" i="1"/>
  <c r="X137" i="1" s="1"/>
  <c r="W138" i="1"/>
  <c r="X138" i="1" s="1"/>
  <c r="W139" i="1"/>
  <c r="X139" i="1" s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X145" i="1" s="1"/>
  <c r="W146" i="1"/>
  <c r="X146" i="1" s="1"/>
  <c r="W147" i="1"/>
  <c r="X147" i="1" s="1"/>
  <c r="W148" i="1"/>
  <c r="X148" i="1" s="1"/>
  <c r="W149" i="1"/>
  <c r="X149" i="1" s="1"/>
  <c r="W150" i="1"/>
  <c r="X150" i="1" s="1"/>
  <c r="W151" i="1"/>
  <c r="X151" i="1" s="1"/>
  <c r="W152" i="1"/>
  <c r="X152" i="1" s="1"/>
  <c r="W153" i="1"/>
  <c r="X153" i="1" s="1"/>
  <c r="W154" i="1"/>
  <c r="X154" i="1" s="1"/>
  <c r="W155" i="1"/>
  <c r="X155" i="1" s="1"/>
  <c r="W156" i="1"/>
  <c r="X156" i="1" s="1"/>
  <c r="W157" i="1"/>
  <c r="X157" i="1" s="1"/>
  <c r="W158" i="1"/>
  <c r="X158" i="1" s="1"/>
  <c r="W159" i="1"/>
  <c r="X159" i="1" s="1"/>
  <c r="W160" i="1"/>
  <c r="X160" i="1" s="1"/>
  <c r="W161" i="1"/>
  <c r="X161" i="1" s="1"/>
  <c r="W162" i="1"/>
  <c r="X162" i="1" s="1"/>
  <c r="W163" i="1"/>
  <c r="X163" i="1" s="1"/>
  <c r="W164" i="1"/>
  <c r="X164" i="1" s="1"/>
  <c r="W165" i="1"/>
  <c r="X165" i="1" s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X172" i="1" s="1"/>
  <c r="W173" i="1"/>
  <c r="X173" i="1" s="1"/>
  <c r="W174" i="1"/>
  <c r="X174" i="1" s="1"/>
  <c r="W175" i="1"/>
  <c r="X175" i="1" s="1"/>
  <c r="W176" i="1"/>
  <c r="X176" i="1" s="1"/>
  <c r="W177" i="1"/>
  <c r="X177" i="1" s="1"/>
  <c r="W178" i="1"/>
  <c r="X178" i="1" s="1"/>
  <c r="W179" i="1"/>
  <c r="X179" i="1" s="1"/>
  <c r="W180" i="1"/>
  <c r="X180" i="1" s="1"/>
  <c r="W181" i="1"/>
  <c r="X181" i="1" s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X187" i="1" s="1"/>
  <c r="W188" i="1"/>
  <c r="X188" i="1" s="1"/>
  <c r="W189" i="1"/>
  <c r="X189" i="1" s="1"/>
  <c r="W190" i="1"/>
  <c r="X190" i="1" s="1"/>
  <c r="W191" i="1"/>
  <c r="X191" i="1" s="1"/>
  <c r="W192" i="1"/>
  <c r="X192" i="1" s="1"/>
  <c r="W193" i="1"/>
  <c r="X193" i="1" s="1"/>
  <c r="W194" i="1"/>
  <c r="X194" i="1" s="1"/>
  <c r="W195" i="1"/>
  <c r="X195" i="1" s="1"/>
  <c r="W196" i="1"/>
  <c r="X196" i="1" s="1"/>
  <c r="W197" i="1"/>
  <c r="X197" i="1" s="1"/>
  <c r="W198" i="1"/>
  <c r="X198" i="1" s="1"/>
  <c r="W199" i="1"/>
  <c r="X199" i="1" s="1"/>
  <c r="W200" i="1"/>
  <c r="X200" i="1" s="1"/>
  <c r="W201" i="1"/>
  <c r="X201" i="1" s="1"/>
  <c r="W202" i="1"/>
  <c r="X202" i="1" s="1"/>
  <c r="W203" i="1"/>
  <c r="X203" i="1" s="1"/>
  <c r="W204" i="1"/>
  <c r="X204" i="1" s="1"/>
  <c r="W205" i="1"/>
  <c r="X205" i="1" s="1"/>
  <c r="W206" i="1"/>
  <c r="X206" i="1" s="1"/>
  <c r="W207" i="1"/>
  <c r="X207" i="1" s="1"/>
  <c r="W208" i="1"/>
  <c r="X208" i="1" s="1"/>
  <c r="W209" i="1"/>
  <c r="X209" i="1" s="1"/>
  <c r="W210" i="1"/>
  <c r="X210" i="1" s="1"/>
  <c r="W211" i="1"/>
  <c r="X211" i="1" s="1"/>
  <c r="W212" i="1"/>
  <c r="X212" i="1" s="1"/>
  <c r="W213" i="1"/>
  <c r="X213" i="1" s="1"/>
  <c r="W214" i="1"/>
  <c r="X214" i="1" s="1"/>
  <c r="W215" i="1"/>
  <c r="X215" i="1" s="1"/>
  <c r="W216" i="1"/>
  <c r="X216" i="1" s="1"/>
  <c r="W217" i="1"/>
  <c r="X217" i="1" s="1"/>
  <c r="W218" i="1"/>
  <c r="X218" i="1" s="1"/>
  <c r="W219" i="1"/>
  <c r="X219" i="1" s="1"/>
  <c r="W220" i="1"/>
  <c r="X220" i="1" s="1"/>
  <c r="W221" i="1"/>
  <c r="X221" i="1" s="1"/>
  <c r="W222" i="1"/>
  <c r="X222" i="1" s="1"/>
  <c r="W223" i="1"/>
  <c r="X223" i="1" s="1"/>
  <c r="W224" i="1"/>
  <c r="X224" i="1" s="1"/>
  <c r="W225" i="1"/>
  <c r="X225" i="1" s="1"/>
  <c r="W226" i="1"/>
  <c r="X226" i="1" s="1"/>
  <c r="W227" i="1"/>
  <c r="X227" i="1" s="1"/>
  <c r="W228" i="1"/>
  <c r="X228" i="1" s="1"/>
  <c r="W229" i="1"/>
  <c r="X229" i="1" s="1"/>
  <c r="W230" i="1"/>
  <c r="X230" i="1" s="1"/>
  <c r="W231" i="1"/>
  <c r="X231" i="1" s="1"/>
  <c r="W232" i="1"/>
  <c r="X232" i="1" s="1"/>
  <c r="W233" i="1"/>
  <c r="X233" i="1" s="1"/>
  <c r="W234" i="1"/>
  <c r="X234" i="1" s="1"/>
  <c r="W235" i="1"/>
  <c r="X235" i="1" s="1"/>
  <c r="W236" i="1"/>
  <c r="X236" i="1" s="1"/>
  <c r="W237" i="1"/>
  <c r="X237" i="1" s="1"/>
  <c r="W238" i="1"/>
  <c r="X238" i="1" s="1"/>
  <c r="W239" i="1"/>
  <c r="X239" i="1" s="1"/>
  <c r="W240" i="1"/>
  <c r="X240" i="1" s="1"/>
  <c r="W241" i="1"/>
  <c r="X241" i="1" s="1"/>
  <c r="W242" i="1"/>
  <c r="X242" i="1" s="1"/>
  <c r="W243" i="1"/>
  <c r="X243" i="1" s="1"/>
  <c r="W244" i="1"/>
  <c r="X244" i="1" s="1"/>
  <c r="W245" i="1"/>
  <c r="X245" i="1" s="1"/>
  <c r="W246" i="1"/>
  <c r="X246" i="1" s="1"/>
  <c r="W247" i="1"/>
  <c r="X247" i="1" s="1"/>
  <c r="W248" i="1"/>
  <c r="X248" i="1" s="1"/>
  <c r="W249" i="1"/>
  <c r="X249" i="1" s="1"/>
  <c r="W250" i="1"/>
  <c r="X250" i="1" s="1"/>
  <c r="W251" i="1"/>
  <c r="X251" i="1" s="1"/>
  <c r="W252" i="1"/>
  <c r="X252" i="1" s="1"/>
  <c r="W253" i="1"/>
  <c r="X253" i="1" s="1"/>
  <c r="W254" i="1"/>
  <c r="X254" i="1" s="1"/>
  <c r="W255" i="1"/>
  <c r="X255" i="1" s="1"/>
  <c r="W256" i="1"/>
  <c r="X256" i="1" s="1"/>
  <c r="W257" i="1"/>
  <c r="X257" i="1" s="1"/>
  <c r="W258" i="1"/>
  <c r="X258" i="1" s="1"/>
  <c r="W259" i="1"/>
  <c r="X259" i="1" s="1"/>
  <c r="W260" i="1"/>
  <c r="X260" i="1" s="1"/>
  <c r="W261" i="1"/>
  <c r="X261" i="1" s="1"/>
  <c r="W262" i="1"/>
  <c r="X262" i="1" s="1"/>
  <c r="W263" i="1"/>
  <c r="X263" i="1" s="1"/>
  <c r="W264" i="1"/>
  <c r="X264" i="1" s="1"/>
  <c r="W265" i="1"/>
  <c r="X265" i="1" s="1"/>
  <c r="W266" i="1"/>
  <c r="X266" i="1" s="1"/>
  <c r="W267" i="1"/>
  <c r="X267" i="1" s="1"/>
  <c r="W268" i="1"/>
  <c r="X268" i="1" s="1"/>
  <c r="W269" i="1"/>
  <c r="X269" i="1" s="1"/>
  <c r="W270" i="1"/>
  <c r="X270" i="1" s="1"/>
  <c r="W271" i="1"/>
  <c r="X271" i="1" s="1"/>
  <c r="W272" i="1"/>
  <c r="X272" i="1" s="1"/>
  <c r="W273" i="1"/>
  <c r="X273" i="1" s="1"/>
  <c r="W274" i="1"/>
  <c r="X274" i="1" s="1"/>
  <c r="W275" i="1"/>
  <c r="X275" i="1" s="1"/>
  <c r="W276" i="1"/>
  <c r="X276" i="1" s="1"/>
  <c r="W277" i="1"/>
  <c r="X277" i="1" s="1"/>
  <c r="W278" i="1"/>
  <c r="X278" i="1" s="1"/>
  <c r="W279" i="1"/>
  <c r="X279" i="1" s="1"/>
  <c r="W280" i="1"/>
  <c r="X280" i="1" s="1"/>
  <c r="W281" i="1"/>
  <c r="X281" i="1" s="1"/>
  <c r="W282" i="1"/>
  <c r="X282" i="1" s="1"/>
  <c r="W283" i="1"/>
  <c r="X283" i="1" s="1"/>
  <c r="W284" i="1"/>
  <c r="X284" i="1" s="1"/>
  <c r="W285" i="1"/>
  <c r="X285" i="1" s="1"/>
  <c r="W286" i="1"/>
  <c r="X286" i="1" s="1"/>
  <c r="W287" i="1"/>
  <c r="X287" i="1" s="1"/>
  <c r="W288" i="1"/>
  <c r="X288" i="1" s="1"/>
  <c r="W289" i="1"/>
  <c r="X289" i="1" s="1"/>
  <c r="W290" i="1"/>
  <c r="X290" i="1" s="1"/>
  <c r="W291" i="1"/>
  <c r="X291" i="1" s="1"/>
  <c r="W292" i="1"/>
  <c r="X292" i="1" s="1"/>
  <c r="W293" i="1"/>
  <c r="X293" i="1" s="1"/>
  <c r="W294" i="1"/>
  <c r="X294" i="1" s="1"/>
  <c r="W295" i="1"/>
  <c r="X295" i="1" s="1"/>
  <c r="W296" i="1"/>
  <c r="X296" i="1" s="1"/>
  <c r="W297" i="1"/>
  <c r="X297" i="1" s="1"/>
  <c r="W298" i="1"/>
  <c r="X298" i="1" s="1"/>
  <c r="W299" i="1"/>
  <c r="X299" i="1" s="1"/>
  <c r="W300" i="1"/>
  <c r="X300" i="1" s="1"/>
  <c r="W301" i="1"/>
  <c r="X301" i="1" s="1"/>
  <c r="W302" i="1"/>
  <c r="X302" i="1" s="1"/>
  <c r="W303" i="1"/>
  <c r="X303" i="1" s="1"/>
  <c r="W304" i="1"/>
  <c r="X304" i="1" s="1"/>
  <c r="W305" i="1"/>
  <c r="X305" i="1" s="1"/>
  <c r="W306" i="1"/>
  <c r="X306" i="1" s="1"/>
  <c r="W307" i="1"/>
  <c r="X307" i="1" s="1"/>
  <c r="W308" i="1"/>
  <c r="X308" i="1" s="1"/>
  <c r="W309" i="1"/>
  <c r="X309" i="1" s="1"/>
  <c r="W310" i="1"/>
  <c r="X310" i="1" s="1"/>
  <c r="W311" i="1"/>
  <c r="X311" i="1" s="1"/>
  <c r="W312" i="1"/>
  <c r="X312" i="1" s="1"/>
  <c r="W313" i="1"/>
  <c r="X313" i="1" s="1"/>
  <c r="W314" i="1"/>
  <c r="X314" i="1" s="1"/>
  <c r="W315" i="1"/>
  <c r="X315" i="1" s="1"/>
  <c r="W316" i="1"/>
  <c r="X316" i="1" s="1"/>
  <c r="W317" i="1"/>
  <c r="X317" i="1" s="1"/>
  <c r="W318" i="1"/>
  <c r="X318" i="1" s="1"/>
  <c r="W319" i="1"/>
  <c r="X319" i="1" s="1"/>
  <c r="W320" i="1"/>
  <c r="X320" i="1" s="1"/>
  <c r="W321" i="1"/>
  <c r="X321" i="1" s="1"/>
  <c r="W322" i="1"/>
  <c r="X322" i="1" s="1"/>
  <c r="W323" i="1"/>
  <c r="X323" i="1" s="1"/>
  <c r="W324" i="1"/>
  <c r="X324" i="1" s="1"/>
  <c r="W325" i="1"/>
  <c r="X325" i="1" s="1"/>
  <c r="W326" i="1"/>
  <c r="X326" i="1" s="1"/>
  <c r="W327" i="1"/>
  <c r="X327" i="1" s="1"/>
  <c r="W328" i="1"/>
  <c r="X328" i="1" s="1"/>
  <c r="W329" i="1"/>
  <c r="X329" i="1" s="1"/>
  <c r="W330" i="1"/>
  <c r="X330" i="1" s="1"/>
  <c r="W331" i="1"/>
  <c r="X331" i="1" s="1"/>
  <c r="W332" i="1"/>
  <c r="X332" i="1" s="1"/>
  <c r="W333" i="1"/>
  <c r="X333" i="1" s="1"/>
  <c r="W334" i="1"/>
  <c r="X334" i="1" s="1"/>
  <c r="W335" i="1"/>
  <c r="X335" i="1" s="1"/>
  <c r="W336" i="1"/>
  <c r="X336" i="1" s="1"/>
  <c r="W337" i="1"/>
  <c r="X337" i="1" s="1"/>
  <c r="W338" i="1"/>
  <c r="X338" i="1" s="1"/>
  <c r="W339" i="1"/>
  <c r="X339" i="1" s="1"/>
  <c r="W340" i="1"/>
  <c r="X340" i="1" s="1"/>
  <c r="W341" i="1"/>
  <c r="X341" i="1" s="1"/>
  <c r="W342" i="1"/>
  <c r="X342" i="1" s="1"/>
  <c r="W343" i="1"/>
  <c r="X343" i="1" s="1"/>
  <c r="W344" i="1"/>
  <c r="X344" i="1" s="1"/>
  <c r="W345" i="1"/>
  <c r="X345" i="1" s="1"/>
  <c r="W346" i="1"/>
  <c r="X346" i="1" s="1"/>
  <c r="W347" i="1"/>
  <c r="X347" i="1" s="1"/>
  <c r="W348" i="1"/>
  <c r="X348" i="1" s="1"/>
  <c r="W349" i="1"/>
  <c r="X349" i="1" s="1"/>
  <c r="W350" i="1"/>
  <c r="X350" i="1" s="1"/>
  <c r="W351" i="1"/>
  <c r="X351" i="1" s="1"/>
  <c r="W352" i="1"/>
  <c r="X352" i="1" s="1"/>
  <c r="W353" i="1"/>
  <c r="X353" i="1" s="1"/>
  <c r="W354" i="1"/>
  <c r="X354" i="1" s="1"/>
  <c r="W355" i="1"/>
  <c r="X355" i="1" s="1"/>
  <c r="W356" i="1"/>
  <c r="X356" i="1" s="1"/>
  <c r="W357" i="1"/>
  <c r="X357" i="1" s="1"/>
  <c r="W358" i="1"/>
  <c r="X358" i="1" s="1"/>
  <c r="W359" i="1"/>
  <c r="X359" i="1" s="1"/>
  <c r="W360" i="1"/>
  <c r="X360" i="1" s="1"/>
  <c r="W361" i="1"/>
  <c r="X361" i="1" s="1"/>
  <c r="W362" i="1"/>
  <c r="X362" i="1" s="1"/>
  <c r="W363" i="1"/>
  <c r="X363" i="1" s="1"/>
  <c r="W364" i="1"/>
  <c r="X364" i="1" s="1"/>
  <c r="W365" i="1"/>
  <c r="X365" i="1" s="1"/>
  <c r="W366" i="1"/>
  <c r="X366" i="1" s="1"/>
  <c r="W367" i="1"/>
  <c r="X367" i="1" s="1"/>
  <c r="W368" i="1"/>
  <c r="X368" i="1" s="1"/>
  <c r="W369" i="1"/>
  <c r="X369" i="1" s="1"/>
  <c r="W370" i="1"/>
  <c r="X370" i="1" s="1"/>
  <c r="W371" i="1"/>
  <c r="X371" i="1" s="1"/>
  <c r="W372" i="1"/>
  <c r="X372" i="1" s="1"/>
  <c r="W373" i="1"/>
  <c r="X373" i="1" s="1"/>
  <c r="W374" i="1"/>
  <c r="X374" i="1" s="1"/>
  <c r="W375" i="1"/>
  <c r="X375" i="1" s="1"/>
  <c r="W376" i="1"/>
  <c r="X376" i="1" s="1"/>
  <c r="W377" i="1"/>
  <c r="X377" i="1" s="1"/>
  <c r="W378" i="1"/>
  <c r="X378" i="1" s="1"/>
  <c r="W379" i="1"/>
  <c r="X379" i="1" s="1"/>
  <c r="W380" i="1"/>
  <c r="X380" i="1" s="1"/>
  <c r="W381" i="1"/>
  <c r="X381" i="1" s="1"/>
  <c r="W382" i="1"/>
  <c r="X382" i="1" s="1"/>
  <c r="W383" i="1"/>
  <c r="X383" i="1" s="1"/>
  <c r="W384" i="1"/>
  <c r="X384" i="1" s="1"/>
  <c r="W385" i="1"/>
  <c r="X385" i="1" s="1"/>
  <c r="W386" i="1"/>
  <c r="X386" i="1" s="1"/>
  <c r="W387" i="1"/>
  <c r="X387" i="1" s="1"/>
  <c r="W388" i="1"/>
  <c r="X388" i="1" s="1"/>
  <c r="W389" i="1"/>
  <c r="X389" i="1" s="1"/>
  <c r="W390" i="1"/>
  <c r="X390" i="1" s="1"/>
  <c r="W391" i="1"/>
  <c r="X391" i="1" s="1"/>
  <c r="W392" i="1"/>
  <c r="X392" i="1" s="1"/>
  <c r="W393" i="1"/>
  <c r="X393" i="1" s="1"/>
  <c r="W394" i="1"/>
  <c r="X394" i="1" s="1"/>
  <c r="W395" i="1"/>
  <c r="X395" i="1" s="1"/>
  <c r="W396" i="1"/>
  <c r="X396" i="1" s="1"/>
  <c r="W397" i="1"/>
  <c r="X397" i="1" s="1"/>
  <c r="W398" i="1"/>
  <c r="X398" i="1" s="1"/>
  <c r="W399" i="1"/>
  <c r="X399" i="1" s="1"/>
  <c r="W400" i="1"/>
  <c r="X400" i="1" s="1"/>
  <c r="W401" i="1"/>
  <c r="X401" i="1" s="1"/>
  <c r="W402" i="1"/>
  <c r="X402" i="1" s="1"/>
  <c r="W403" i="1"/>
  <c r="X403" i="1" s="1"/>
  <c r="W404" i="1"/>
  <c r="X404" i="1" s="1"/>
  <c r="W405" i="1"/>
  <c r="X405" i="1" s="1"/>
  <c r="W406" i="1"/>
  <c r="X406" i="1" s="1"/>
  <c r="W407" i="1"/>
  <c r="X407" i="1" s="1"/>
  <c r="W408" i="1"/>
  <c r="X408" i="1" s="1"/>
  <c r="W409" i="1"/>
  <c r="X409" i="1" s="1"/>
  <c r="W410" i="1"/>
  <c r="X410" i="1" s="1"/>
  <c r="W411" i="1"/>
  <c r="X411" i="1" s="1"/>
  <c r="W412" i="1"/>
  <c r="X412" i="1" s="1"/>
  <c r="W413" i="1"/>
  <c r="X413" i="1" s="1"/>
  <c r="W414" i="1"/>
  <c r="X414" i="1" s="1"/>
  <c r="W415" i="1"/>
  <c r="X415" i="1" s="1"/>
  <c r="W416" i="1"/>
  <c r="X416" i="1" s="1"/>
  <c r="W417" i="1"/>
  <c r="X417" i="1" s="1"/>
  <c r="W418" i="1"/>
  <c r="X418" i="1" s="1"/>
  <c r="W419" i="1"/>
  <c r="X419" i="1" s="1"/>
  <c r="W420" i="1"/>
  <c r="X420" i="1" s="1"/>
  <c r="W421" i="1"/>
  <c r="X421" i="1" s="1"/>
  <c r="W422" i="1"/>
  <c r="X422" i="1" s="1"/>
  <c r="W423" i="1"/>
  <c r="X423" i="1" s="1"/>
  <c r="W424" i="1"/>
  <c r="X424" i="1" s="1"/>
  <c r="W425" i="1"/>
  <c r="X425" i="1" s="1"/>
  <c r="W426" i="1"/>
  <c r="X426" i="1" s="1"/>
  <c r="W427" i="1"/>
  <c r="X427" i="1" s="1"/>
  <c r="W428" i="1"/>
  <c r="X428" i="1" s="1"/>
  <c r="W429" i="1"/>
  <c r="X429" i="1" s="1"/>
  <c r="W430" i="1"/>
  <c r="X430" i="1" s="1"/>
  <c r="W431" i="1"/>
  <c r="X431" i="1" s="1"/>
  <c r="W432" i="1"/>
  <c r="X432" i="1" s="1"/>
  <c r="W433" i="1"/>
  <c r="X433" i="1" s="1"/>
  <c r="W434" i="1"/>
  <c r="X434" i="1" s="1"/>
  <c r="W435" i="1"/>
  <c r="X435" i="1" s="1"/>
  <c r="W436" i="1"/>
  <c r="X436" i="1" s="1"/>
  <c r="W437" i="1"/>
  <c r="X437" i="1" s="1"/>
  <c r="W438" i="1"/>
  <c r="X438" i="1" s="1"/>
  <c r="W439" i="1"/>
  <c r="X439" i="1" s="1"/>
  <c r="W440" i="1"/>
  <c r="X440" i="1" s="1"/>
  <c r="W441" i="1"/>
  <c r="X441" i="1" s="1"/>
  <c r="W442" i="1"/>
  <c r="X442" i="1" s="1"/>
  <c r="W443" i="1"/>
  <c r="X443" i="1" s="1"/>
  <c r="W444" i="1"/>
  <c r="X444" i="1" s="1"/>
  <c r="W445" i="1"/>
  <c r="X445" i="1" s="1"/>
  <c r="W446" i="1"/>
  <c r="X446" i="1" s="1"/>
  <c r="W447" i="1"/>
  <c r="X447" i="1" s="1"/>
  <c r="W448" i="1"/>
  <c r="X448" i="1" s="1"/>
  <c r="W449" i="1"/>
  <c r="X449" i="1" s="1"/>
  <c r="W450" i="1"/>
  <c r="X450" i="1" s="1"/>
  <c r="W451" i="1"/>
  <c r="X451" i="1" s="1"/>
  <c r="W452" i="1"/>
  <c r="X452" i="1" s="1"/>
  <c r="W453" i="1"/>
  <c r="X453" i="1" s="1"/>
  <c r="W454" i="1"/>
  <c r="X454" i="1" s="1"/>
  <c r="W455" i="1"/>
  <c r="X455" i="1" s="1"/>
  <c r="W456" i="1"/>
  <c r="X456" i="1" s="1"/>
  <c r="W457" i="1"/>
  <c r="X457" i="1" s="1"/>
  <c r="W458" i="1"/>
  <c r="X458" i="1" s="1"/>
  <c r="W459" i="1"/>
  <c r="X459" i="1" s="1"/>
  <c r="W460" i="1"/>
  <c r="X460" i="1" s="1"/>
  <c r="W461" i="1"/>
  <c r="X461" i="1" s="1"/>
  <c r="W462" i="1"/>
  <c r="X462" i="1" s="1"/>
  <c r="W463" i="1"/>
  <c r="X463" i="1" s="1"/>
  <c r="W464" i="1"/>
  <c r="X464" i="1" s="1"/>
  <c r="W465" i="1"/>
  <c r="X465" i="1" s="1"/>
  <c r="W466" i="1"/>
  <c r="X466" i="1" s="1"/>
  <c r="W467" i="1"/>
  <c r="X467" i="1" s="1"/>
  <c r="W468" i="1"/>
  <c r="X468" i="1" s="1"/>
  <c r="W469" i="1"/>
  <c r="X469" i="1" s="1"/>
  <c r="W470" i="1"/>
  <c r="X470" i="1" s="1"/>
  <c r="W471" i="1"/>
  <c r="X471" i="1" s="1"/>
  <c r="W472" i="1"/>
  <c r="X472" i="1" s="1"/>
  <c r="W473" i="1"/>
  <c r="X473" i="1" s="1"/>
  <c r="W474" i="1"/>
  <c r="X474" i="1" s="1"/>
  <c r="W475" i="1"/>
  <c r="X475" i="1" s="1"/>
  <c r="W476" i="1"/>
  <c r="X476" i="1" s="1"/>
  <c r="W477" i="1"/>
  <c r="X477" i="1" s="1"/>
  <c r="W478" i="1"/>
  <c r="X478" i="1" s="1"/>
  <c r="W479" i="1"/>
  <c r="X479" i="1" s="1"/>
  <c r="W480" i="1"/>
  <c r="X480" i="1" s="1"/>
  <c r="W481" i="1"/>
  <c r="X481" i="1" s="1"/>
  <c r="W482" i="1"/>
  <c r="X482" i="1" s="1"/>
  <c r="W483" i="1"/>
  <c r="X483" i="1" s="1"/>
  <c r="W484" i="1"/>
  <c r="X484" i="1" s="1"/>
  <c r="W485" i="1"/>
  <c r="X485" i="1" s="1"/>
  <c r="W486" i="1"/>
  <c r="X486" i="1" s="1"/>
  <c r="W487" i="1"/>
  <c r="X487" i="1" s="1"/>
  <c r="W488" i="1"/>
  <c r="X488" i="1" s="1"/>
  <c r="W489" i="1"/>
  <c r="X489" i="1" s="1"/>
  <c r="W490" i="1"/>
  <c r="X490" i="1" s="1"/>
  <c r="W491" i="1"/>
  <c r="X491" i="1" s="1"/>
  <c r="W492" i="1"/>
  <c r="X492" i="1" s="1"/>
  <c r="W493" i="1"/>
  <c r="X493" i="1" s="1"/>
  <c r="W494" i="1"/>
  <c r="X494" i="1" s="1"/>
  <c r="W495" i="1"/>
  <c r="X495" i="1" s="1"/>
  <c r="W496" i="1"/>
  <c r="X496" i="1" s="1"/>
  <c r="W497" i="1"/>
  <c r="X497" i="1" s="1"/>
  <c r="W498" i="1"/>
  <c r="X498" i="1" s="1"/>
  <c r="W499" i="1"/>
  <c r="X499" i="1" s="1"/>
  <c r="W500" i="1"/>
  <c r="X500" i="1" s="1"/>
  <c r="W501" i="1"/>
  <c r="X501" i="1" s="1"/>
  <c r="W502" i="1"/>
  <c r="X502" i="1" s="1"/>
  <c r="W503" i="1"/>
  <c r="X503" i="1" s="1"/>
  <c r="W504" i="1"/>
  <c r="X504" i="1" s="1"/>
  <c r="W505" i="1"/>
  <c r="X505" i="1" s="1"/>
  <c r="W506" i="1"/>
  <c r="X506" i="1" s="1"/>
  <c r="W507" i="1"/>
  <c r="X507" i="1" s="1"/>
  <c r="W508" i="1"/>
  <c r="X508" i="1" s="1"/>
  <c r="W509" i="1"/>
  <c r="X509" i="1" s="1"/>
  <c r="W510" i="1"/>
  <c r="X510" i="1" s="1"/>
  <c r="W511" i="1"/>
  <c r="X511" i="1" s="1"/>
  <c r="W512" i="1"/>
  <c r="X512" i="1" s="1"/>
  <c r="W513" i="1"/>
  <c r="X513" i="1" s="1"/>
  <c r="W514" i="1"/>
  <c r="X514" i="1" s="1"/>
  <c r="W515" i="1"/>
  <c r="X515" i="1" s="1"/>
  <c r="W516" i="1"/>
  <c r="X516" i="1" s="1"/>
  <c r="W517" i="1"/>
  <c r="X517" i="1" s="1"/>
  <c r="W518" i="1"/>
  <c r="X518" i="1" s="1"/>
  <c r="W519" i="1"/>
  <c r="X519" i="1" s="1"/>
  <c r="W520" i="1"/>
  <c r="X520" i="1" s="1"/>
  <c r="W521" i="1"/>
  <c r="X521" i="1" s="1"/>
  <c r="W522" i="1"/>
  <c r="X522" i="1" s="1"/>
  <c r="W523" i="1"/>
  <c r="X523" i="1" s="1"/>
  <c r="W524" i="1"/>
  <c r="X524" i="1" s="1"/>
  <c r="W525" i="1"/>
  <c r="X525" i="1" s="1"/>
  <c r="W526" i="1"/>
  <c r="X526" i="1" s="1"/>
  <c r="W527" i="1"/>
  <c r="X527" i="1" s="1"/>
  <c r="W528" i="1"/>
  <c r="X528" i="1" s="1"/>
  <c r="W529" i="1"/>
  <c r="X529" i="1" s="1"/>
  <c r="W530" i="1"/>
  <c r="X530" i="1" s="1"/>
  <c r="W531" i="1"/>
  <c r="X531" i="1" s="1"/>
  <c r="W532" i="1"/>
  <c r="X532" i="1" s="1"/>
  <c r="W533" i="1"/>
  <c r="X533" i="1" s="1"/>
  <c r="W534" i="1"/>
  <c r="X534" i="1" s="1"/>
  <c r="W535" i="1"/>
  <c r="X535" i="1" s="1"/>
  <c r="W536" i="1"/>
  <c r="X536" i="1" s="1"/>
  <c r="W537" i="1"/>
  <c r="X537" i="1" s="1"/>
  <c r="W538" i="1"/>
  <c r="X538" i="1" s="1"/>
  <c r="W539" i="1"/>
  <c r="X539" i="1" s="1"/>
  <c r="W540" i="1"/>
  <c r="X540" i="1" s="1"/>
  <c r="W541" i="1"/>
  <c r="X541" i="1" s="1"/>
  <c r="W542" i="1"/>
  <c r="X542" i="1" s="1"/>
  <c r="W543" i="1"/>
  <c r="X543" i="1" s="1"/>
  <c r="W544" i="1"/>
  <c r="X544" i="1" s="1"/>
  <c r="W545" i="1"/>
  <c r="X545" i="1" s="1"/>
  <c r="W546" i="1"/>
  <c r="X546" i="1" s="1"/>
  <c r="W547" i="1"/>
  <c r="X547" i="1" s="1"/>
  <c r="W548" i="1"/>
  <c r="X548" i="1" s="1"/>
  <c r="W549" i="1"/>
  <c r="X549" i="1" s="1"/>
  <c r="W550" i="1"/>
  <c r="X550" i="1" s="1"/>
  <c r="W551" i="1"/>
  <c r="X551" i="1" s="1"/>
  <c r="W552" i="1"/>
  <c r="X552" i="1" s="1"/>
  <c r="W553" i="1"/>
  <c r="X553" i="1" s="1"/>
  <c r="W554" i="1"/>
  <c r="X554" i="1" s="1"/>
  <c r="W555" i="1"/>
  <c r="X555" i="1" s="1"/>
  <c r="W556" i="1"/>
  <c r="X556" i="1" s="1"/>
  <c r="W557" i="1"/>
  <c r="X557" i="1" s="1"/>
  <c r="W558" i="1"/>
  <c r="X558" i="1" s="1"/>
  <c r="W559" i="1"/>
  <c r="X559" i="1" s="1"/>
  <c r="W560" i="1"/>
  <c r="X560" i="1" s="1"/>
  <c r="W561" i="1"/>
  <c r="X561" i="1" s="1"/>
  <c r="W562" i="1"/>
  <c r="X562" i="1" s="1"/>
  <c r="W563" i="1"/>
  <c r="X563" i="1" s="1"/>
  <c r="W564" i="1"/>
  <c r="X564" i="1" s="1"/>
  <c r="W565" i="1"/>
  <c r="X565" i="1" s="1"/>
  <c r="W566" i="1"/>
  <c r="X566" i="1" s="1"/>
  <c r="W567" i="1"/>
  <c r="X567" i="1" s="1"/>
  <c r="W568" i="1"/>
  <c r="X568" i="1" s="1"/>
  <c r="W569" i="1"/>
  <c r="X569" i="1" s="1"/>
  <c r="W570" i="1"/>
  <c r="X570" i="1" s="1"/>
  <c r="W571" i="1"/>
  <c r="X571" i="1" s="1"/>
  <c r="W572" i="1"/>
  <c r="X572" i="1" s="1"/>
  <c r="W573" i="1"/>
  <c r="X573" i="1" s="1"/>
  <c r="W574" i="1"/>
  <c r="X574" i="1" s="1"/>
  <c r="W575" i="1"/>
  <c r="X575" i="1" s="1"/>
  <c r="W576" i="1"/>
  <c r="X576" i="1" s="1"/>
  <c r="W577" i="1"/>
  <c r="X577" i="1" s="1"/>
  <c r="W578" i="1"/>
  <c r="X578" i="1" s="1"/>
  <c r="W579" i="1"/>
  <c r="X579" i="1" s="1"/>
  <c r="W580" i="1"/>
  <c r="X580" i="1" s="1"/>
  <c r="W581" i="1"/>
  <c r="X581" i="1" s="1"/>
  <c r="W582" i="1"/>
  <c r="X582" i="1" s="1"/>
  <c r="W583" i="1"/>
  <c r="X583" i="1" s="1"/>
  <c r="W584" i="1"/>
  <c r="X584" i="1" s="1"/>
  <c r="W585" i="1"/>
  <c r="X585" i="1" s="1"/>
  <c r="W586" i="1"/>
  <c r="X586" i="1" s="1"/>
  <c r="W587" i="1"/>
  <c r="X587" i="1" s="1"/>
  <c r="W588" i="1"/>
  <c r="X588" i="1" s="1"/>
  <c r="W589" i="1"/>
  <c r="X589" i="1" s="1"/>
  <c r="W590" i="1"/>
  <c r="X590" i="1" s="1"/>
  <c r="W591" i="1"/>
  <c r="X591" i="1" s="1"/>
  <c r="W592" i="1"/>
  <c r="X592" i="1" s="1"/>
  <c r="W593" i="1"/>
  <c r="X593" i="1" s="1"/>
  <c r="W594" i="1"/>
  <c r="X594" i="1" s="1"/>
  <c r="W595" i="1"/>
  <c r="X595" i="1" s="1"/>
  <c r="W596" i="1"/>
  <c r="X596" i="1" s="1"/>
  <c r="W597" i="1"/>
  <c r="X597" i="1" s="1"/>
  <c r="W598" i="1"/>
  <c r="X598" i="1" s="1"/>
  <c r="W599" i="1"/>
  <c r="X599" i="1" s="1"/>
  <c r="W600" i="1"/>
  <c r="X600" i="1" s="1"/>
  <c r="W601" i="1"/>
  <c r="X601" i="1" s="1"/>
  <c r="W602" i="1"/>
  <c r="X602" i="1" s="1"/>
  <c r="W603" i="1"/>
  <c r="X603" i="1" s="1"/>
  <c r="W604" i="1"/>
  <c r="X604" i="1" s="1"/>
  <c r="W605" i="1"/>
  <c r="X605" i="1" s="1"/>
  <c r="W606" i="1"/>
  <c r="X606" i="1" s="1"/>
  <c r="W607" i="1"/>
  <c r="X607" i="1" s="1"/>
  <c r="W608" i="1"/>
  <c r="X608" i="1" s="1"/>
  <c r="W609" i="1"/>
  <c r="X609" i="1" s="1"/>
  <c r="W610" i="1"/>
  <c r="X610" i="1" s="1"/>
  <c r="W611" i="1"/>
  <c r="X611" i="1" s="1"/>
  <c r="W612" i="1"/>
  <c r="X612" i="1" s="1"/>
  <c r="W613" i="1"/>
  <c r="X613" i="1" s="1"/>
  <c r="W614" i="1"/>
  <c r="X614" i="1" s="1"/>
  <c r="W615" i="1"/>
  <c r="X615" i="1" s="1"/>
  <c r="W616" i="1"/>
  <c r="X616" i="1" s="1"/>
  <c r="W617" i="1"/>
  <c r="X617" i="1" s="1"/>
  <c r="W618" i="1"/>
  <c r="X618" i="1" s="1"/>
  <c r="W619" i="1"/>
  <c r="X619" i="1" s="1"/>
  <c r="W620" i="1"/>
  <c r="X620" i="1" s="1"/>
  <c r="W621" i="1"/>
  <c r="X621" i="1" s="1"/>
  <c r="W622" i="1"/>
  <c r="X622" i="1" s="1"/>
  <c r="W623" i="1"/>
  <c r="X623" i="1" s="1"/>
  <c r="W624" i="1"/>
  <c r="X624" i="1" s="1"/>
  <c r="W625" i="1"/>
  <c r="X625" i="1" s="1"/>
  <c r="W626" i="1"/>
  <c r="X626" i="1" s="1"/>
  <c r="W627" i="1"/>
  <c r="X627" i="1" s="1"/>
  <c r="W628" i="1"/>
  <c r="X628" i="1" s="1"/>
  <c r="W629" i="1"/>
  <c r="X629" i="1" s="1"/>
  <c r="W630" i="1"/>
  <c r="X630" i="1" s="1"/>
  <c r="W631" i="1"/>
  <c r="X631" i="1" s="1"/>
  <c r="W632" i="1"/>
  <c r="X632" i="1" s="1"/>
  <c r="W633" i="1"/>
  <c r="X633" i="1" s="1"/>
  <c r="W634" i="1"/>
  <c r="X634" i="1" s="1"/>
  <c r="W635" i="1"/>
  <c r="X635" i="1" s="1"/>
  <c r="W636" i="1"/>
  <c r="X636" i="1" s="1"/>
  <c r="W637" i="1"/>
  <c r="X637" i="1" s="1"/>
  <c r="W638" i="1"/>
  <c r="X638" i="1" s="1"/>
  <c r="W639" i="1"/>
  <c r="X639" i="1" s="1"/>
  <c r="W640" i="1"/>
  <c r="X640" i="1" s="1"/>
  <c r="W641" i="1"/>
  <c r="X641" i="1" s="1"/>
  <c r="W642" i="1"/>
  <c r="X642" i="1" s="1"/>
  <c r="W643" i="1"/>
  <c r="X643" i="1" s="1"/>
  <c r="W644" i="1"/>
  <c r="X644" i="1" s="1"/>
  <c r="W645" i="1"/>
  <c r="X645" i="1" s="1"/>
  <c r="W646" i="1"/>
  <c r="X646" i="1" s="1"/>
  <c r="W647" i="1"/>
  <c r="X647" i="1" s="1"/>
  <c r="W648" i="1"/>
  <c r="X648" i="1" s="1"/>
  <c r="W649" i="1"/>
  <c r="X649" i="1" s="1"/>
  <c r="W650" i="1"/>
  <c r="X650" i="1" s="1"/>
  <c r="W651" i="1"/>
  <c r="X651" i="1" s="1"/>
  <c r="W652" i="1"/>
  <c r="X652" i="1" s="1"/>
  <c r="W653" i="1"/>
  <c r="X653" i="1" s="1"/>
  <c r="W654" i="1"/>
  <c r="X654" i="1" s="1"/>
  <c r="W655" i="1"/>
  <c r="X655" i="1" s="1"/>
  <c r="W656" i="1"/>
  <c r="X656" i="1" s="1"/>
  <c r="W657" i="1"/>
  <c r="X657" i="1" s="1"/>
  <c r="W658" i="1"/>
  <c r="X658" i="1" s="1"/>
  <c r="W659" i="1"/>
  <c r="X659" i="1" s="1"/>
  <c r="W660" i="1"/>
  <c r="X660" i="1" s="1"/>
  <c r="W661" i="1"/>
  <c r="X661" i="1" s="1"/>
  <c r="W662" i="1"/>
  <c r="X662" i="1" s="1"/>
  <c r="W663" i="1"/>
  <c r="X663" i="1" s="1"/>
  <c r="W664" i="1"/>
  <c r="X664" i="1" s="1"/>
  <c r="W665" i="1"/>
  <c r="X665" i="1" s="1"/>
  <c r="W666" i="1"/>
  <c r="X666" i="1" s="1"/>
  <c r="W667" i="1"/>
  <c r="X667" i="1" s="1"/>
  <c r="W668" i="1"/>
  <c r="X668" i="1" s="1"/>
  <c r="W669" i="1"/>
  <c r="X669" i="1" s="1"/>
  <c r="W670" i="1"/>
  <c r="X670" i="1" s="1"/>
  <c r="W671" i="1"/>
  <c r="X671" i="1" s="1"/>
  <c r="W672" i="1"/>
  <c r="X672" i="1" s="1"/>
  <c r="W673" i="1"/>
  <c r="X673" i="1" s="1"/>
  <c r="W674" i="1"/>
  <c r="X674" i="1" s="1"/>
  <c r="W675" i="1"/>
  <c r="X675" i="1" s="1"/>
  <c r="W676" i="1"/>
  <c r="X676" i="1" s="1"/>
  <c r="W677" i="1"/>
  <c r="X677" i="1" s="1"/>
  <c r="W678" i="1"/>
  <c r="X678" i="1" s="1"/>
  <c r="W679" i="1"/>
  <c r="X679" i="1" s="1"/>
  <c r="W680" i="1"/>
  <c r="X680" i="1" s="1"/>
  <c r="W681" i="1"/>
  <c r="X681" i="1" s="1"/>
  <c r="W682" i="1"/>
  <c r="X682" i="1" s="1"/>
  <c r="W683" i="1"/>
  <c r="X683" i="1" s="1"/>
  <c r="W684" i="1"/>
  <c r="X684" i="1" s="1"/>
  <c r="W685" i="1"/>
  <c r="X685" i="1" s="1"/>
  <c r="W686" i="1"/>
  <c r="X686" i="1" s="1"/>
  <c r="W687" i="1"/>
  <c r="X687" i="1" s="1"/>
  <c r="W688" i="1"/>
  <c r="X688" i="1" s="1"/>
  <c r="W689" i="1"/>
  <c r="X689" i="1" s="1"/>
  <c r="W690" i="1"/>
  <c r="X690" i="1" s="1"/>
  <c r="W691" i="1"/>
  <c r="X691" i="1" s="1"/>
  <c r="W692" i="1"/>
  <c r="X692" i="1" s="1"/>
  <c r="W693" i="1"/>
  <c r="X693" i="1" s="1"/>
  <c r="W694" i="1"/>
  <c r="X694" i="1" s="1"/>
  <c r="W695" i="1"/>
  <c r="X695" i="1" s="1"/>
  <c r="W696" i="1"/>
  <c r="X696" i="1" s="1"/>
  <c r="W697" i="1"/>
  <c r="X697" i="1" s="1"/>
  <c r="W698" i="1"/>
  <c r="X698" i="1" s="1"/>
  <c r="W699" i="1"/>
  <c r="X699" i="1" s="1"/>
  <c r="W700" i="1"/>
  <c r="X700" i="1" s="1"/>
  <c r="W701" i="1"/>
  <c r="X701" i="1" s="1"/>
  <c r="W702" i="1"/>
  <c r="X702" i="1" s="1"/>
  <c r="W703" i="1"/>
  <c r="X703" i="1" s="1"/>
  <c r="W704" i="1"/>
  <c r="X704" i="1" s="1"/>
  <c r="W705" i="1"/>
  <c r="X705" i="1" s="1"/>
  <c r="W706" i="1"/>
  <c r="X706" i="1" s="1"/>
  <c r="W707" i="1"/>
  <c r="X707" i="1" s="1"/>
  <c r="W708" i="1"/>
  <c r="X708" i="1" s="1"/>
  <c r="W709" i="1"/>
  <c r="X709" i="1" s="1"/>
  <c r="W710" i="1"/>
  <c r="X710" i="1" s="1"/>
  <c r="W711" i="1"/>
  <c r="X711" i="1" s="1"/>
  <c r="W712" i="1"/>
  <c r="X712" i="1" s="1"/>
  <c r="W713" i="1"/>
  <c r="X713" i="1" s="1"/>
  <c r="W714" i="1"/>
  <c r="X714" i="1" s="1"/>
  <c r="W715" i="1"/>
  <c r="X715" i="1" s="1"/>
  <c r="W716" i="1"/>
  <c r="X716" i="1" s="1"/>
  <c r="W717" i="1"/>
  <c r="X717" i="1" s="1"/>
  <c r="W718" i="1"/>
  <c r="X718" i="1" s="1"/>
  <c r="W719" i="1"/>
  <c r="X719" i="1" s="1"/>
  <c r="W720" i="1"/>
  <c r="X720" i="1" s="1"/>
  <c r="W721" i="1"/>
  <c r="X721" i="1" s="1"/>
  <c r="W722" i="1"/>
  <c r="X722" i="1" s="1"/>
  <c r="W723" i="1"/>
  <c r="X723" i="1" s="1"/>
  <c r="W724" i="1"/>
  <c r="X724" i="1" s="1"/>
  <c r="W725" i="1"/>
  <c r="X725" i="1" s="1"/>
  <c r="W726" i="1"/>
  <c r="X726" i="1" s="1"/>
  <c r="W727" i="1"/>
  <c r="X727" i="1" s="1"/>
  <c r="W728" i="1"/>
  <c r="X728" i="1" s="1"/>
  <c r="W729" i="1"/>
  <c r="X729" i="1" s="1"/>
  <c r="W730" i="1"/>
  <c r="X730" i="1" s="1"/>
  <c r="W731" i="1"/>
  <c r="X731" i="1" s="1"/>
  <c r="W732" i="1"/>
  <c r="X732" i="1" s="1"/>
  <c r="W733" i="1"/>
  <c r="X733" i="1" s="1"/>
  <c r="W734" i="1"/>
  <c r="X734" i="1" s="1"/>
  <c r="W735" i="1"/>
  <c r="X735" i="1" s="1"/>
  <c r="W736" i="1"/>
  <c r="X736" i="1" s="1"/>
  <c r="W737" i="1"/>
  <c r="X737" i="1" s="1"/>
  <c r="W738" i="1"/>
  <c r="X738" i="1" s="1"/>
  <c r="W739" i="1"/>
  <c r="X739" i="1" s="1"/>
  <c r="W740" i="1"/>
  <c r="X740" i="1" s="1"/>
  <c r="W741" i="1"/>
  <c r="X741" i="1" s="1"/>
  <c r="W742" i="1"/>
  <c r="X742" i="1" s="1"/>
  <c r="W743" i="1"/>
  <c r="X743" i="1" s="1"/>
  <c r="W744" i="1"/>
  <c r="X744" i="1" s="1"/>
  <c r="W745" i="1"/>
  <c r="X745" i="1" s="1"/>
  <c r="W746" i="1"/>
  <c r="X746" i="1" s="1"/>
  <c r="W747" i="1"/>
  <c r="X747" i="1" s="1"/>
  <c r="W748" i="1"/>
  <c r="X748" i="1" s="1"/>
  <c r="W749" i="1"/>
  <c r="X749" i="1" s="1"/>
  <c r="W750" i="1"/>
  <c r="X750" i="1" s="1"/>
  <c r="W751" i="1"/>
  <c r="X751" i="1" s="1"/>
  <c r="W752" i="1"/>
  <c r="X752" i="1" s="1"/>
  <c r="W753" i="1"/>
  <c r="X753" i="1" s="1"/>
  <c r="W754" i="1"/>
  <c r="X754" i="1" s="1"/>
  <c r="W755" i="1"/>
  <c r="X755" i="1" s="1"/>
  <c r="W756" i="1"/>
  <c r="X756" i="1" s="1"/>
  <c r="W757" i="1"/>
  <c r="X757" i="1" s="1"/>
  <c r="W758" i="1"/>
  <c r="X758" i="1" s="1"/>
  <c r="W759" i="1"/>
  <c r="X759" i="1" s="1"/>
  <c r="W760" i="1"/>
  <c r="X760" i="1" s="1"/>
  <c r="W761" i="1"/>
  <c r="X761" i="1" s="1"/>
  <c r="W762" i="1"/>
  <c r="X762" i="1" s="1"/>
  <c r="W763" i="1"/>
  <c r="X763" i="1" s="1"/>
  <c r="W764" i="1"/>
  <c r="X764" i="1" s="1"/>
  <c r="W765" i="1"/>
  <c r="X765" i="1" s="1"/>
  <c r="W766" i="1"/>
  <c r="X766" i="1" s="1"/>
  <c r="W767" i="1"/>
  <c r="X767" i="1" s="1"/>
  <c r="W768" i="1"/>
  <c r="X768" i="1" s="1"/>
  <c r="W769" i="1"/>
  <c r="X769" i="1" s="1"/>
  <c r="W770" i="1"/>
  <c r="X770" i="1" s="1"/>
  <c r="W771" i="1"/>
  <c r="X771" i="1" s="1"/>
  <c r="W772" i="1"/>
  <c r="X772" i="1" s="1"/>
  <c r="W773" i="1"/>
  <c r="X773" i="1" s="1"/>
  <c r="W774" i="1"/>
  <c r="X774" i="1" s="1"/>
  <c r="W775" i="1"/>
  <c r="X775" i="1" s="1"/>
  <c r="W776" i="1"/>
  <c r="X776" i="1" s="1"/>
  <c r="W777" i="1"/>
  <c r="X777" i="1" s="1"/>
  <c r="W778" i="1"/>
  <c r="X778" i="1" s="1"/>
  <c r="W779" i="1"/>
  <c r="X779" i="1" s="1"/>
  <c r="W780" i="1"/>
  <c r="X780" i="1" s="1"/>
  <c r="W781" i="1"/>
  <c r="X781" i="1" s="1"/>
  <c r="W782" i="1"/>
  <c r="X782" i="1" s="1"/>
  <c r="W783" i="1"/>
  <c r="X783" i="1" s="1"/>
  <c r="W784" i="1"/>
  <c r="X784" i="1" s="1"/>
  <c r="W785" i="1"/>
  <c r="X785" i="1" s="1"/>
  <c r="W786" i="1"/>
  <c r="X786" i="1" s="1"/>
  <c r="W787" i="1"/>
  <c r="X787" i="1" s="1"/>
  <c r="W788" i="1"/>
  <c r="X788" i="1" s="1"/>
  <c r="W789" i="1"/>
  <c r="X789" i="1" s="1"/>
  <c r="W790" i="1"/>
  <c r="X790" i="1" s="1"/>
  <c r="W791" i="1"/>
  <c r="X791" i="1" s="1"/>
  <c r="W792" i="1"/>
  <c r="X792" i="1" s="1"/>
  <c r="W793" i="1"/>
  <c r="X793" i="1" s="1"/>
  <c r="W794" i="1"/>
  <c r="X794" i="1" s="1"/>
  <c r="W795" i="1"/>
  <c r="X795" i="1" s="1"/>
  <c r="W796" i="1"/>
  <c r="X796" i="1" s="1"/>
  <c r="W797" i="1"/>
  <c r="X797" i="1" s="1"/>
  <c r="W798" i="1"/>
  <c r="X798" i="1" s="1"/>
  <c r="W799" i="1"/>
  <c r="X799" i="1" s="1"/>
  <c r="W800" i="1"/>
  <c r="X800" i="1" s="1"/>
  <c r="W801" i="1"/>
  <c r="X801" i="1" s="1"/>
  <c r="W802" i="1"/>
  <c r="X802" i="1" s="1"/>
  <c r="W803" i="1"/>
  <c r="X803" i="1" s="1"/>
  <c r="W804" i="1"/>
  <c r="X804" i="1" s="1"/>
  <c r="W805" i="1"/>
  <c r="X805" i="1" s="1"/>
  <c r="W806" i="1"/>
  <c r="X806" i="1" s="1"/>
  <c r="W807" i="1"/>
  <c r="X807" i="1" s="1"/>
  <c r="W808" i="1"/>
  <c r="X808" i="1" s="1"/>
  <c r="W809" i="1"/>
  <c r="X809" i="1" s="1"/>
  <c r="W810" i="1"/>
  <c r="X810" i="1" s="1"/>
  <c r="W811" i="1"/>
  <c r="X811" i="1" s="1"/>
  <c r="W812" i="1"/>
  <c r="X812" i="1" s="1"/>
  <c r="W813" i="1"/>
  <c r="X813" i="1" s="1"/>
  <c r="W814" i="1"/>
  <c r="X814" i="1" s="1"/>
  <c r="W815" i="1"/>
  <c r="X815" i="1" s="1"/>
  <c r="W816" i="1"/>
  <c r="X816" i="1" s="1"/>
  <c r="W817" i="1"/>
  <c r="X817" i="1" s="1"/>
  <c r="W818" i="1"/>
  <c r="X818" i="1" s="1"/>
  <c r="W819" i="1"/>
  <c r="X819" i="1" s="1"/>
  <c r="W820" i="1"/>
  <c r="X820" i="1" s="1"/>
  <c r="W821" i="1"/>
  <c r="X821" i="1" s="1"/>
  <c r="W822" i="1"/>
  <c r="X822" i="1" s="1"/>
  <c r="W823" i="1"/>
  <c r="X823" i="1" s="1"/>
  <c r="W824" i="1"/>
  <c r="X824" i="1" s="1"/>
  <c r="W825" i="1"/>
  <c r="X825" i="1" s="1"/>
  <c r="W826" i="1"/>
  <c r="X826" i="1" s="1"/>
  <c r="W827" i="1"/>
  <c r="X827" i="1" s="1"/>
  <c r="W828" i="1"/>
  <c r="X828" i="1" s="1"/>
  <c r="W829" i="1"/>
  <c r="X829" i="1" s="1"/>
  <c r="W830" i="1"/>
  <c r="X830" i="1" s="1"/>
  <c r="W831" i="1"/>
  <c r="X831" i="1" s="1"/>
  <c r="W832" i="1"/>
  <c r="X832" i="1" s="1"/>
  <c r="W833" i="1"/>
  <c r="X833" i="1" s="1"/>
  <c r="W834" i="1"/>
  <c r="X834" i="1" s="1"/>
  <c r="W835" i="1"/>
  <c r="X835" i="1" s="1"/>
  <c r="W836" i="1"/>
  <c r="X836" i="1" s="1"/>
  <c r="W837" i="1"/>
  <c r="X837" i="1" s="1"/>
  <c r="W838" i="1"/>
  <c r="X838" i="1" s="1"/>
  <c r="W839" i="1"/>
  <c r="X839" i="1" s="1"/>
  <c r="W840" i="1"/>
  <c r="X840" i="1" s="1"/>
  <c r="W841" i="1"/>
  <c r="X841" i="1" s="1"/>
  <c r="W842" i="1"/>
  <c r="X842" i="1" s="1"/>
  <c r="W843" i="1"/>
  <c r="X843" i="1" s="1"/>
  <c r="W844" i="1"/>
  <c r="X844" i="1" s="1"/>
  <c r="W845" i="1"/>
  <c r="X845" i="1" s="1"/>
  <c r="W846" i="1"/>
  <c r="X846" i="1" s="1"/>
  <c r="W847" i="1"/>
  <c r="X847" i="1" s="1"/>
  <c r="W848" i="1"/>
  <c r="X848" i="1" s="1"/>
  <c r="W849" i="1"/>
  <c r="X849" i="1" s="1"/>
  <c r="W850" i="1"/>
  <c r="X850" i="1" s="1"/>
  <c r="W851" i="1"/>
  <c r="X851" i="1" s="1"/>
  <c r="W852" i="1"/>
  <c r="X852" i="1" s="1"/>
  <c r="W853" i="1"/>
  <c r="X853" i="1" s="1"/>
  <c r="W854" i="1"/>
  <c r="X854" i="1" s="1"/>
  <c r="W855" i="1"/>
  <c r="X855" i="1" s="1"/>
  <c r="W856" i="1"/>
  <c r="X856" i="1" s="1"/>
  <c r="W857" i="1"/>
  <c r="X857" i="1" s="1"/>
  <c r="W858" i="1"/>
  <c r="X858" i="1" s="1"/>
  <c r="W859" i="1"/>
  <c r="X859" i="1" s="1"/>
  <c r="W860" i="1"/>
  <c r="X860" i="1" s="1"/>
  <c r="W861" i="1"/>
  <c r="X861" i="1" s="1"/>
  <c r="W862" i="1"/>
  <c r="X862" i="1" s="1"/>
  <c r="W863" i="1"/>
  <c r="X863" i="1" s="1"/>
  <c r="W864" i="1"/>
  <c r="X864" i="1" s="1"/>
  <c r="W865" i="1"/>
  <c r="X865" i="1" s="1"/>
  <c r="W866" i="1"/>
  <c r="X866" i="1" s="1"/>
  <c r="W867" i="1"/>
  <c r="X867" i="1" s="1"/>
  <c r="W868" i="1"/>
  <c r="X868" i="1" s="1"/>
  <c r="W869" i="1"/>
  <c r="X869" i="1" s="1"/>
  <c r="W870" i="1"/>
  <c r="X870" i="1" s="1"/>
  <c r="W871" i="1"/>
  <c r="X871" i="1" s="1"/>
  <c r="W872" i="1"/>
  <c r="X872" i="1" s="1"/>
  <c r="W873" i="1"/>
  <c r="X873" i="1" s="1"/>
  <c r="W874" i="1"/>
  <c r="X874" i="1" s="1"/>
  <c r="W875" i="1"/>
  <c r="X875" i="1" s="1"/>
  <c r="W876" i="1"/>
  <c r="X876" i="1" s="1"/>
  <c r="W877" i="1"/>
  <c r="X877" i="1" s="1"/>
  <c r="W878" i="1"/>
  <c r="X878" i="1" s="1"/>
  <c r="W879" i="1"/>
  <c r="X879" i="1" s="1"/>
  <c r="W880" i="1"/>
  <c r="X880" i="1" s="1"/>
  <c r="W881" i="1"/>
  <c r="X881" i="1" s="1"/>
  <c r="W882" i="1"/>
  <c r="X882" i="1" s="1"/>
  <c r="W883" i="1"/>
  <c r="X883" i="1" s="1"/>
  <c r="W884" i="1"/>
  <c r="X884" i="1" s="1"/>
  <c r="W885" i="1"/>
  <c r="X885" i="1" s="1"/>
  <c r="W886" i="1"/>
  <c r="X886" i="1" s="1"/>
  <c r="W887" i="1"/>
  <c r="X887" i="1" s="1"/>
  <c r="W888" i="1"/>
  <c r="X888" i="1" s="1"/>
  <c r="W889" i="1"/>
  <c r="X889" i="1" s="1"/>
  <c r="W890" i="1"/>
  <c r="X890" i="1" s="1"/>
  <c r="W891" i="1"/>
  <c r="X891" i="1" s="1"/>
  <c r="W892" i="1"/>
  <c r="X892" i="1" s="1"/>
  <c r="W893" i="1"/>
  <c r="X893" i="1" s="1"/>
  <c r="W894" i="1"/>
  <c r="X894" i="1" s="1"/>
  <c r="W895" i="1"/>
  <c r="X895" i="1" s="1"/>
  <c r="W896" i="1"/>
  <c r="X896" i="1" s="1"/>
  <c r="W897" i="1"/>
  <c r="X897" i="1" s="1"/>
  <c r="W898" i="1"/>
  <c r="X898" i="1" s="1"/>
  <c r="W899" i="1"/>
  <c r="X899" i="1" s="1"/>
  <c r="W900" i="1"/>
  <c r="X900" i="1" s="1"/>
  <c r="W901" i="1"/>
  <c r="X901" i="1" s="1"/>
  <c r="W902" i="1"/>
  <c r="X902" i="1" s="1"/>
  <c r="W903" i="1"/>
  <c r="X903" i="1" s="1"/>
  <c r="W904" i="1"/>
  <c r="X904" i="1" s="1"/>
  <c r="W905" i="1"/>
  <c r="X905" i="1" s="1"/>
  <c r="W906" i="1"/>
  <c r="X906" i="1" s="1"/>
  <c r="W907" i="1"/>
  <c r="X907" i="1" s="1"/>
  <c r="W908" i="1"/>
  <c r="X908" i="1" s="1"/>
  <c r="W909" i="1"/>
  <c r="X909" i="1" s="1"/>
  <c r="W910" i="1"/>
  <c r="X910" i="1" s="1"/>
  <c r="W911" i="1"/>
  <c r="X911" i="1" s="1"/>
  <c r="W912" i="1"/>
  <c r="X912" i="1" s="1"/>
  <c r="W913" i="1"/>
  <c r="X913" i="1" s="1"/>
  <c r="W914" i="1"/>
  <c r="X914" i="1" s="1"/>
  <c r="W915" i="1"/>
  <c r="X915" i="1" s="1"/>
  <c r="W916" i="1"/>
  <c r="X916" i="1" s="1"/>
  <c r="W917" i="1"/>
  <c r="X917" i="1" s="1"/>
  <c r="W918" i="1"/>
  <c r="X918" i="1" s="1"/>
  <c r="W919" i="1"/>
  <c r="X919" i="1" s="1"/>
  <c r="W920" i="1"/>
  <c r="X920" i="1" s="1"/>
  <c r="W921" i="1"/>
  <c r="X921" i="1" s="1"/>
  <c r="W922" i="1"/>
  <c r="X922" i="1" s="1"/>
  <c r="W923" i="1"/>
  <c r="X923" i="1" s="1"/>
  <c r="W924" i="1"/>
  <c r="X924" i="1" s="1"/>
  <c r="W925" i="1"/>
  <c r="X925" i="1" s="1"/>
  <c r="W926" i="1"/>
  <c r="X926" i="1" s="1"/>
  <c r="W927" i="1"/>
  <c r="X927" i="1" s="1"/>
  <c r="W928" i="1"/>
  <c r="X928" i="1" s="1"/>
  <c r="W929" i="1"/>
  <c r="X929" i="1" s="1"/>
  <c r="W930" i="1"/>
  <c r="X930" i="1" s="1"/>
  <c r="W931" i="1"/>
  <c r="X931" i="1" s="1"/>
  <c r="W932" i="1"/>
  <c r="X932" i="1" s="1"/>
  <c r="W933" i="1"/>
  <c r="X933" i="1" s="1"/>
  <c r="W2" i="1"/>
  <c r="X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<sst xmlns="http://schemas.openxmlformats.org/spreadsheetml/2006/main" count="12150" uniqueCount="2812">
  <si>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</si>
  <si>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</si>
  <si>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</si>
  <si>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</si>
  <si>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</si>
  <si>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</si>
  <si>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</si>
  <si>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</si>
  <si>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</si>
  <si>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</si>
  <si>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</si>
  <si>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</si>
  <si>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</si>
  <si>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</si>
  <si>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</si>
  <si>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</si>
  <si>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</si>
  <si>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</si>
  <si>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</si>
  <si>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</si>
  <si>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</si>
  <si>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</si>
  <si>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</si>
  <si>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</si>
  <si>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</si>
  <si>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</si>
  <si>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</si>
  <si>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</si>
  <si>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</si>
  <si>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</si>
  <si>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</si>
  <si>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</si>
  <si>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</si>
  <si>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</si>
  <si>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</si>
  <si>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</si>
  <si>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</si>
  <si>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</si>
  <si>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</si>
  <si>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</si>
  <si>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</si>
  <si>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</si>
  <si>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</si>
  <si>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</si>
  <si>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Isha Nair</t>
  </si>
  <si>
    <t>Art</t>
  </si>
  <si>
    <t>Elite Art 525</t>
  </si>
  <si>
    <t>First Class</t>
  </si>
  <si>
    <t>ORD-2024-10004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</si>
  <si>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</si>
  <si>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</si>
  <si>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</si>
  <si>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</si>
  <si>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</si>
  <si>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</si>
  <si>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</si>
  <si>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</si>
  <si>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</si>
  <si>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</si>
  <si>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</si>
  <si>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</si>
  <si>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</si>
  <si>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</si>
  <si>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</si>
  <si>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</si>
  <si>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</si>
  <si>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</si>
  <si>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</si>
  <si>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</si>
  <si>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</si>
  <si>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</si>
  <si>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</si>
  <si>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Neha Gupta</t>
  </si>
  <si>
    <t>Copiers</t>
  </si>
  <si>
    <t>Eco Copiers 790</t>
  </si>
  <si>
    <t>ORD-2025-10008</t>
  </si>
  <si>
    <t>Andhra Pradesh</t>
  </si>
  <si>
    <t>Vijayawada</t>
  </si>
  <si>
    <t>Eco Art 848</t>
  </si>
  <si>
    <t>ORD-2024-10009</t>
  </si>
  <si>
    <t>Aditi Sen</t>
  </si>
  <si>
    <t>Corporate</t>
  </si>
  <si>
    <t>Labels</t>
  </si>
  <si>
    <t>Classic Labels 815</t>
  </si>
  <si>
    <t>ORD-2025-10010</t>
  </si>
  <si>
    <t>Home Office</t>
  </si>
  <si>
    <t>Pro Paper 622</t>
  </si>
  <si>
    <t>ORD-2025-10011</t>
  </si>
  <si>
    <t>West Bengal</t>
  </si>
  <si>
    <t>Kolkata</t>
  </si>
  <si>
    <t>Prime Labels 644</t>
  </si>
  <si>
    <t>Refunded</t>
  </si>
  <si>
    <t>Returned</t>
  </si>
  <si>
    <t>ORD-2024-10012</t>
  </si>
  <si>
    <t>Smart Accessories 603</t>
  </si>
  <si>
    <t>ORD-2024-10013</t>
  </si>
  <si>
    <t>Udaipur</t>
  </si>
  <si>
    <t>Pro Paper 481</t>
  </si>
  <si>
    <t>Pending</t>
  </si>
  <si>
    <t>ORD-2025-10014</t>
  </si>
  <si>
    <t>Priya Menon</t>
  </si>
  <si>
    <t>Smart Art 795</t>
  </si>
  <si>
    <t>ORD-2024-10015</t>
  </si>
  <si>
    <t>Rahul Verma</t>
  </si>
  <si>
    <t>Max Copiers 983</t>
  </si>
  <si>
    <t>ORD-2024-10016</t>
  </si>
  <si>
    <t>Punjab</t>
  </si>
  <si>
    <t>Ludhiana</t>
  </si>
  <si>
    <t>Storage</t>
  </si>
  <si>
    <t>Classic Storage 198</t>
  </si>
  <si>
    <t>ORD-2024-10017</t>
  </si>
  <si>
    <t>Aarav Sharma</t>
  </si>
  <si>
    <t>Basic Art 204</t>
  </si>
  <si>
    <t>ORD-2024-10018</t>
  </si>
  <si>
    <t>Sneha Kapoor</t>
  </si>
  <si>
    <t>Basic Furnishings 434</t>
  </si>
  <si>
    <t>ORD-2025-10019</t>
  </si>
  <si>
    <t>Uttar Pradesh</t>
  </si>
  <si>
    <t>Noida</t>
  </si>
  <si>
    <t>Eco Copiers 755</t>
  </si>
  <si>
    <t>ORD-2024-10020</t>
  </si>
  <si>
    <t>Rohan Mehta</t>
  </si>
  <si>
    <t>Prime Storage 121</t>
  </si>
  <si>
    <t>ORD-2025-10021</t>
  </si>
  <si>
    <t>Bihar</t>
  </si>
  <si>
    <t>Patna</t>
  </si>
  <si>
    <t>Elite Copiers 233</t>
  </si>
  <si>
    <t>ORD-2025-10022</t>
  </si>
  <si>
    <t>Eco Furnishings 897</t>
  </si>
  <si>
    <t>ORD-2025-10023</t>
  </si>
  <si>
    <t>Binders</t>
  </si>
  <si>
    <t>Max Binders 355</t>
  </si>
  <si>
    <t>Failed</t>
  </si>
  <si>
    <t>ORD-2025-10024</t>
  </si>
  <si>
    <t>Bookcases</t>
  </si>
  <si>
    <t>Pro Bookcases 394</t>
  </si>
  <si>
    <t>ORD-2024-10025</t>
  </si>
  <si>
    <t>Diya Patel</t>
  </si>
  <si>
    <t>Max Art 215</t>
  </si>
  <si>
    <t>ORD-2024-10026</t>
  </si>
  <si>
    <t>Assam</t>
  </si>
  <si>
    <t>Guwahati</t>
  </si>
  <si>
    <t>Classic Accessories 478</t>
  </si>
  <si>
    <t>ORD-2024-10027</t>
  </si>
  <si>
    <t>Phones</t>
  </si>
  <si>
    <t>Pro Phones 243</t>
  </si>
  <si>
    <t>ORD-2025-10028</t>
  </si>
  <si>
    <t>Karnataka</t>
  </si>
  <si>
    <t>Bengaluru</t>
  </si>
  <si>
    <t>Basic Paper 613</t>
  </si>
  <si>
    <t>ORD-2024-10029</t>
  </si>
  <si>
    <t>Gujarat</t>
  </si>
  <si>
    <t>Ahmedabad</t>
  </si>
  <si>
    <t>Prime Phones 698</t>
  </si>
  <si>
    <t>ORD-2025-10030</t>
  </si>
  <si>
    <t>Kerala</t>
  </si>
  <si>
    <t>Kochi</t>
  </si>
  <si>
    <t>Pro Phones 442</t>
  </si>
  <si>
    <t>ORD-2024-10031</t>
  </si>
  <si>
    <t>Goa</t>
  </si>
  <si>
    <t>Panaji</t>
  </si>
  <si>
    <t>Pro Labels 355</t>
  </si>
  <si>
    <t>ORD-2025-10032</t>
  </si>
  <si>
    <t>Pro Paper 959</t>
  </si>
  <si>
    <t>ORD-2024-10033</t>
  </si>
  <si>
    <t>Basic Phones 242</t>
  </si>
  <si>
    <t>ORD-2024-10034</t>
  </si>
  <si>
    <t>Max Tables 836</t>
  </si>
  <si>
    <t>ORD-2025-10035</t>
  </si>
  <si>
    <t>Elite Chairs 862</t>
  </si>
  <si>
    <t>ORD-2024-10036</t>
  </si>
  <si>
    <t>Prime Bookcases 414</t>
  </si>
  <si>
    <t>ORD-2024-10037</t>
  </si>
  <si>
    <t>Eco Bookcases 220</t>
  </si>
  <si>
    <t>ORD-2025-10038</t>
  </si>
  <si>
    <t>Pro Copiers 830</t>
  </si>
  <si>
    <t>STANDARD CLASS</t>
  </si>
  <si>
    <t>ORD-2024-10039</t>
  </si>
  <si>
    <t>Prime Phones 507</t>
  </si>
  <si>
    <t>ORD-2024-10040</t>
  </si>
  <si>
    <t>Classic Copiers 590</t>
  </si>
  <si>
    <t>ORD-2024-10041</t>
  </si>
  <si>
    <t>Eco Copiers 865</t>
  </si>
  <si>
    <t>ORD-2024-10042</t>
  </si>
  <si>
    <t>Classic Bookcases 835</t>
  </si>
  <si>
    <t>ORD-2025-10043</t>
  </si>
  <si>
    <t>Jharkhand</t>
  </si>
  <si>
    <t>Ranchi</t>
  </si>
  <si>
    <t>Eco Phones 702</t>
  </si>
  <si>
    <t>ORD-2024-10044</t>
  </si>
  <si>
    <t>Smart Furnishings 956</t>
  </si>
  <si>
    <t>ORD-2024-10045</t>
  </si>
  <si>
    <t>Haryana</t>
  </si>
  <si>
    <t>Gurugram</t>
  </si>
  <si>
    <t>Max Chairs 393</t>
  </si>
  <si>
    <t>ORD-2024-10046</t>
  </si>
  <si>
    <t>Prime Art 221</t>
  </si>
  <si>
    <t>ORD-2024-10047</t>
  </si>
  <si>
    <t>Elite Bookcases 671</t>
  </si>
  <si>
    <t>ORD-2024-10048</t>
  </si>
  <si>
    <t>Tamil Nadu</t>
  </si>
  <si>
    <t>Chennai</t>
  </si>
  <si>
    <t>Max Storage 432</t>
  </si>
  <si>
    <t>ORD-2025-10049</t>
  </si>
  <si>
    <t>Basic Chairs 837</t>
  </si>
  <si>
    <t>ORD-2024-10050</t>
  </si>
  <si>
    <t>Classic Copiers 295</t>
  </si>
  <si>
    <t>ORD-2025-10051</t>
  </si>
  <si>
    <t>Pro Copiers 963</t>
  </si>
  <si>
    <t>ORD-2024-10052</t>
  </si>
  <si>
    <t>Pro Art 907</t>
  </si>
  <si>
    <t>ORD-2024-10053</t>
  </si>
  <si>
    <t>Kabir Singh</t>
  </si>
  <si>
    <t>Pro Chairs 526</t>
  </si>
  <si>
    <t>ORD-2025-10054</t>
  </si>
  <si>
    <t>Elite Storage 924</t>
  </si>
  <si>
    <t>ORD-2025-10055</t>
  </si>
  <si>
    <t>Pro Labels 957</t>
  </si>
  <si>
    <t>ORD-2025-10056</t>
  </si>
  <si>
    <t>Machines</t>
  </si>
  <si>
    <t>Classic Machines 310</t>
  </si>
  <si>
    <t>ORD-2025-10057</t>
  </si>
  <si>
    <t>Smart Binders 393</t>
  </si>
  <si>
    <t>ORD-2024-10058</t>
  </si>
  <si>
    <t>Max Chairs 813</t>
  </si>
  <si>
    <t>ORD-2024-10059</t>
  </si>
  <si>
    <t>Basic Storage 872</t>
  </si>
  <si>
    <t>ORD-2024-10060</t>
  </si>
  <si>
    <t>Smart Labels 655</t>
  </si>
  <si>
    <t>ORD-2024-10061</t>
  </si>
  <si>
    <t>Eco Labels 210</t>
  </si>
  <si>
    <t>ORD-2024-10062</t>
  </si>
  <si>
    <t>Classic Bookcases 296</t>
  </si>
  <si>
    <t>ORD-2024-10063</t>
  </si>
  <si>
    <t>Basic Phones 230</t>
  </si>
  <si>
    <t>ORD-2024-10064</t>
  </si>
  <si>
    <t>Pro Binders 690</t>
  </si>
  <si>
    <t>ORD-2024-10065</t>
  </si>
  <si>
    <t>Classic Paper 458</t>
  </si>
  <si>
    <t>ORD-2024-10066</t>
  </si>
  <si>
    <t>Pro Paper 552</t>
  </si>
  <si>
    <t>ORD-2025-10067</t>
  </si>
  <si>
    <t>Elite Accessories 187</t>
  </si>
  <si>
    <t>ORD-2025-10068</t>
  </si>
  <si>
    <t>Eco Paper 922</t>
  </si>
  <si>
    <t>ORD-2024-10069</t>
  </si>
  <si>
    <t>Pro Storage 975</t>
  </si>
  <si>
    <t>ORD-2024-10070</t>
  </si>
  <si>
    <t>Prime Machines 782</t>
  </si>
  <si>
    <t>ORD-2025-10071</t>
  </si>
  <si>
    <t>Max Phones 661</t>
  </si>
  <si>
    <t>ORD-2025-10072</t>
  </si>
  <si>
    <t>Elite Machines 836</t>
  </si>
  <si>
    <t>ORD-2024-10073</t>
  </si>
  <si>
    <t>Prime Tables 902</t>
  </si>
  <si>
    <t>ORD-2025-10074</t>
  </si>
  <si>
    <t>Smart Bookcases 167</t>
  </si>
  <si>
    <t>ORD-2025-10075</t>
  </si>
  <si>
    <t>Max Chairs 244</t>
  </si>
  <si>
    <t>ORD-2025-10076</t>
  </si>
  <si>
    <t>Eco Labels 653</t>
  </si>
  <si>
    <t>ORD-2024-10077</t>
  </si>
  <si>
    <t>Max Labels 617</t>
  </si>
  <si>
    <t>ORD-2025-10078</t>
  </si>
  <si>
    <t>Pro Furnishings 529</t>
  </si>
  <si>
    <t>ORD-2025-10079</t>
  </si>
  <si>
    <t>Smart Tables 561</t>
  </si>
  <si>
    <t>ORD-2025-10080</t>
  </si>
  <si>
    <t>Prime Chairs 838</t>
  </si>
  <si>
    <t>ORD-2024-10081</t>
  </si>
  <si>
    <t>Delhi</t>
  </si>
  <si>
    <t>New Delhi</t>
  </si>
  <si>
    <t>Elite Storage 371</t>
  </si>
  <si>
    <t>ORD-2025-10082</t>
  </si>
  <si>
    <t>Eco Labels 662</t>
  </si>
  <si>
    <t>ORD-2024-10083</t>
  </si>
  <si>
    <t>Smart Copiers 702</t>
  </si>
  <si>
    <t>ORD-2024-10084</t>
  </si>
  <si>
    <t>Elite Tables 362</t>
  </si>
  <si>
    <t>ORD-2024-10085</t>
  </si>
  <si>
    <t>Elite Phones 781</t>
  </si>
  <si>
    <t>ORD-2024-10086</t>
  </si>
  <si>
    <t>Eco Binders 456</t>
  </si>
  <si>
    <t>ORD-2024-10087</t>
  </si>
  <si>
    <t>Basic Copiers 525</t>
  </si>
  <si>
    <t>ORD-2024-10088</t>
  </si>
  <si>
    <t>Eco Binders 258</t>
  </si>
  <si>
    <t>ORD-2024-10089</t>
  </si>
  <si>
    <t>Max Bookcases 398</t>
  </si>
  <si>
    <t>ORD-2024-10090</t>
  </si>
  <si>
    <t>Smart Bookcases 857</t>
  </si>
  <si>
    <t>ORD-2025-10091</t>
  </si>
  <si>
    <t>Smart Copiers 556</t>
  </si>
  <si>
    <t>ORD-2025-10092</t>
  </si>
  <si>
    <t>Prime Copiers 575</t>
  </si>
  <si>
    <t>ORD-2025-10093</t>
  </si>
  <si>
    <t>Elite Paper 669</t>
  </si>
  <si>
    <t>ORD-2024-10094</t>
  </si>
  <si>
    <t>Eco Binders 780</t>
  </si>
  <si>
    <t>ORD-2024-10095</t>
  </si>
  <si>
    <t>Elite Phones 723</t>
  </si>
  <si>
    <t>ORD-2025-10096</t>
  </si>
  <si>
    <t>Classic Bookcases 988</t>
  </si>
  <si>
    <t>ORD-2024-10097</t>
  </si>
  <si>
    <t>Smart Copiers 547</t>
  </si>
  <si>
    <t>ORD-2025-10098</t>
  </si>
  <si>
    <t>Basic Storage 656</t>
  </si>
  <si>
    <t>ORD-2024-10099</t>
  </si>
  <si>
    <t>Elite Copiers 785</t>
  </si>
  <si>
    <t>ORD-2025-10100</t>
  </si>
  <si>
    <t>Smart Accessories 542</t>
  </si>
  <si>
    <t>ORD-2025-10101</t>
  </si>
  <si>
    <t>Eco Storage 936</t>
  </si>
  <si>
    <t>ORD-2024-10102</t>
  </si>
  <si>
    <t>Classic Furnishings 682</t>
  </si>
  <si>
    <t>ORD-2025-10103</t>
  </si>
  <si>
    <t>Classic Chairs 604</t>
  </si>
  <si>
    <t>ORD-2025-10104</t>
  </si>
  <si>
    <t>Prime Tables 377</t>
  </si>
  <si>
    <t>ORD-2025-10105</t>
  </si>
  <si>
    <t>Prime Labels 807</t>
  </si>
  <si>
    <t>ORD-2024-10106</t>
  </si>
  <si>
    <t>Eco Tables 575</t>
  </si>
  <si>
    <t>ORD-2024-10107</t>
  </si>
  <si>
    <t>Eco Paper 918</t>
  </si>
  <si>
    <t>ORD-2024-10108</t>
  </si>
  <si>
    <t>Prime Furnishings 952</t>
  </si>
  <si>
    <t>ORD-2024-10109</t>
  </si>
  <si>
    <t>Prime Bookcases 631</t>
  </si>
  <si>
    <t>ORD-2025-10110</t>
  </si>
  <si>
    <t>Classic Binders 660</t>
  </si>
  <si>
    <t>ORD-2024-10111</t>
  </si>
  <si>
    <t>Pro Labels 255</t>
  </si>
  <si>
    <t>ORD-2025-10112</t>
  </si>
  <si>
    <t>Basic Accessories 187</t>
  </si>
  <si>
    <t>ORD-2024-10113</t>
  </si>
  <si>
    <t>Max Accessories 451</t>
  </si>
  <si>
    <t>ORD-2024-10114</t>
  </si>
  <si>
    <t>Classic Tables 752</t>
  </si>
  <si>
    <t>ORD-2024-10115</t>
  </si>
  <si>
    <t>Eco Accessories 452</t>
  </si>
  <si>
    <t>ORD-2024-10116</t>
  </si>
  <si>
    <t>Classic Binders 203</t>
  </si>
  <si>
    <t>ORD-2025-10117</t>
  </si>
  <si>
    <t>Basic Binders 859</t>
  </si>
  <si>
    <t>ORD-2024-10118</t>
  </si>
  <si>
    <t>Elite Machines 705</t>
  </si>
  <si>
    <t>70%</t>
  </si>
  <si>
    <t>ORD-2024-10119</t>
  </si>
  <si>
    <t>Pro Copiers 208</t>
  </si>
  <si>
    <t>ORD-2024-10120</t>
  </si>
  <si>
    <t>Elite Chairs 921</t>
  </si>
  <si>
    <t>ORD-2024-10121</t>
  </si>
  <si>
    <t>Prime Phones 540</t>
  </si>
  <si>
    <t>ORD-2025-10122</t>
  </si>
  <si>
    <t>Max Machines 948</t>
  </si>
  <si>
    <t>ORD-2024-10123</t>
  </si>
  <si>
    <t>Max Chairs 786</t>
  </si>
  <si>
    <t>ORD-2024-10124</t>
  </si>
  <si>
    <t>Max Copiers 970</t>
  </si>
  <si>
    <t>ORD-2024-10125</t>
  </si>
  <si>
    <t>Pro Copiers 769</t>
  </si>
  <si>
    <t>ORD-2025-10126</t>
  </si>
  <si>
    <t>Basic Tables 753</t>
  </si>
  <si>
    <t>ORD-2025-10127</t>
  </si>
  <si>
    <t>Prime Copiers 651</t>
  </si>
  <si>
    <t>ORD-2025-10128</t>
  </si>
  <si>
    <t>Basic Storage 321</t>
  </si>
  <si>
    <t>ORD-2024-10129</t>
  </si>
  <si>
    <t>Prime Furnishings 710</t>
  </si>
  <si>
    <t>ORD-2024-10130</t>
  </si>
  <si>
    <t>Elite Binders 723</t>
  </si>
  <si>
    <t>ORD-2024-10131</t>
  </si>
  <si>
    <t>Smart Labels 878</t>
  </si>
  <si>
    <t>ORD-2025-10132</t>
  </si>
  <si>
    <t>Pro Paper 934</t>
  </si>
  <si>
    <t>ORD-2024-10133</t>
  </si>
  <si>
    <t>Classic Machines 886</t>
  </si>
  <si>
    <t>ORD-2024-10134</t>
  </si>
  <si>
    <t>Prime Phones 419</t>
  </si>
  <si>
    <t>ORD-2025-10135</t>
  </si>
  <si>
    <t>Elite Bookcases 266</t>
  </si>
  <si>
    <t>ORD-2025-10136</t>
  </si>
  <si>
    <t>Prime Bookcases 954</t>
  </si>
  <si>
    <t>ORD-2025-10137</t>
  </si>
  <si>
    <t>Max Binders 362</t>
  </si>
  <si>
    <t>Standard  Class</t>
  </si>
  <si>
    <t>ORD-2025-10138</t>
  </si>
  <si>
    <t>Prime Chairs 261</t>
  </si>
  <si>
    <t>ORD-2024-10139</t>
  </si>
  <si>
    <t>Basic Machines 185</t>
  </si>
  <si>
    <t>ORD-2025-10140</t>
  </si>
  <si>
    <t>Basic Labels 509</t>
  </si>
  <si>
    <t>ORD-2024-10141</t>
  </si>
  <si>
    <t>Elite Bookcases 696</t>
  </si>
  <si>
    <t>ORD-2024-10142</t>
  </si>
  <si>
    <t>Elite Bookcases 772</t>
  </si>
  <si>
    <t>ORD-2024-10143</t>
  </si>
  <si>
    <t>Classic Phones 142</t>
  </si>
  <si>
    <t>ORD-2024-10144</t>
  </si>
  <si>
    <t>Pro Paper 575</t>
  </si>
  <si>
    <t>ORD-2024-10145</t>
  </si>
  <si>
    <t>Elite Accessories 905</t>
  </si>
  <si>
    <t>ORD-2025-10146</t>
  </si>
  <si>
    <t>Smart Paper 899</t>
  </si>
  <si>
    <t>ORD-2025-10147</t>
  </si>
  <si>
    <t>Classic Storage 423</t>
  </si>
  <si>
    <t>ORD-2024-10148</t>
  </si>
  <si>
    <t>Classic Furnishings 743</t>
  </si>
  <si>
    <t>ORD-2025-10149</t>
  </si>
  <si>
    <t>Smart Phones 336</t>
  </si>
  <si>
    <t>ORD-2024-10150</t>
  </si>
  <si>
    <t>Eco Copiers 381</t>
  </si>
  <si>
    <t>ORD-2024-10151</t>
  </si>
  <si>
    <t>Max Bookcases 595</t>
  </si>
  <si>
    <t>ORD-2024-10152</t>
  </si>
  <si>
    <t>Max Copiers 992</t>
  </si>
  <si>
    <t>ORD-2024-10153</t>
  </si>
  <si>
    <t>Pro Tables 407</t>
  </si>
  <si>
    <t>ORD-2025-10154</t>
  </si>
  <si>
    <t>Prime Labels 559</t>
  </si>
  <si>
    <t>ORD-2024-10155</t>
  </si>
  <si>
    <t>Classic Bookcases 847</t>
  </si>
  <si>
    <t>ORD-2025-10156</t>
  </si>
  <si>
    <t>Classic Furnishings 655</t>
  </si>
  <si>
    <t>ORD-2025-10157</t>
  </si>
  <si>
    <t>Eco Machines 657</t>
  </si>
  <si>
    <t>ORD-2024-10158</t>
  </si>
  <si>
    <t>Pro Bookcases 430</t>
  </si>
  <si>
    <t>ORD-2024-10159</t>
  </si>
  <si>
    <t>Max Bookcases 881</t>
  </si>
  <si>
    <t>ORD-2025-10160</t>
  </si>
  <si>
    <t>Elite Chairs 998</t>
  </si>
  <si>
    <t>ORD-2025-10161</t>
  </si>
  <si>
    <t>Max Paper 113</t>
  </si>
  <si>
    <t>ORD-2025-10162</t>
  </si>
  <si>
    <t>Smart Binders 267</t>
  </si>
  <si>
    <t>ORD-2024-10163</t>
  </si>
  <si>
    <t>Pro Furnishings 108</t>
  </si>
  <si>
    <t>ORD-2025-10164</t>
  </si>
  <si>
    <t>Elite Tables 389</t>
  </si>
  <si>
    <t>ORD-2025-10165</t>
  </si>
  <si>
    <t>Pro Bookcases 595</t>
  </si>
  <si>
    <t>ORD-2024-10166</t>
  </si>
  <si>
    <t>Max Chairs 148</t>
  </si>
  <si>
    <t>ORD-2025-10167</t>
  </si>
  <si>
    <t>OFFICE SUPPLIES</t>
  </si>
  <si>
    <t>Basic Labels 671</t>
  </si>
  <si>
    <t>ORD-2025-10168</t>
  </si>
  <si>
    <t>Elite Storage 628</t>
  </si>
  <si>
    <t>ORD-2025-10169</t>
  </si>
  <si>
    <t>Eco Accessories 590</t>
  </si>
  <si>
    <t>ORD-2025-10170</t>
  </si>
  <si>
    <t>Pro Art 734</t>
  </si>
  <si>
    <t>ORD-2025-10171</t>
  </si>
  <si>
    <t>Eco Copiers 102</t>
  </si>
  <si>
    <t>ORD-2025-10172</t>
  </si>
  <si>
    <t>Basic Labels 876</t>
  </si>
  <si>
    <t>ORD-2025-10173</t>
  </si>
  <si>
    <t>Prime Furnishings 381</t>
  </si>
  <si>
    <t>ORD-2024-10174</t>
  </si>
  <si>
    <t>Prime Copiers 440</t>
  </si>
  <si>
    <t>ORD-2025-10175</t>
  </si>
  <si>
    <t>Pro Bookcases 319</t>
  </si>
  <si>
    <t>ORD-2024-10176</t>
  </si>
  <si>
    <t>Basic Machines 584</t>
  </si>
  <si>
    <t>ORD-2025-10177</t>
  </si>
  <si>
    <t>Pro Bookcases 612</t>
  </si>
  <si>
    <t>ORD-2024-10178</t>
  </si>
  <si>
    <t>Classic Art 573</t>
  </si>
  <si>
    <t>ORD-2024-10179</t>
  </si>
  <si>
    <t>Eco Art 854</t>
  </si>
  <si>
    <t>ORD-2024-10180</t>
  </si>
  <si>
    <t>Classic Furnishings 996</t>
  </si>
  <si>
    <t>ORD-2024-10181</t>
  </si>
  <si>
    <t>Prime Binders 735</t>
  </si>
  <si>
    <t>ORD-2025-10182</t>
  </si>
  <si>
    <t>Pro Art 587</t>
  </si>
  <si>
    <t>ORD-2024-10183</t>
  </si>
  <si>
    <t>Basic Machines 575</t>
  </si>
  <si>
    <t>ORD-2025-10184</t>
  </si>
  <si>
    <t>Elite Copiers 788</t>
  </si>
  <si>
    <t>ORD-2024-10185</t>
  </si>
  <si>
    <t>Max Bookcases 472</t>
  </si>
  <si>
    <t>ORD-2024-10186</t>
  </si>
  <si>
    <t>Smart Labels 475</t>
  </si>
  <si>
    <t>ORD-2024-10187</t>
  </si>
  <si>
    <t>Basic Tables 417</t>
  </si>
  <si>
    <t>ORD-2025-10188</t>
  </si>
  <si>
    <t>Pro Chairs 844</t>
  </si>
  <si>
    <t>ORD-2025-10189</t>
  </si>
  <si>
    <t>Elite Bookcases 883</t>
  </si>
  <si>
    <t>ORD-2025-10190</t>
  </si>
  <si>
    <t>Basic Bookcases 754</t>
  </si>
  <si>
    <t>completed</t>
  </si>
  <si>
    <t>ORD-2025-10191</t>
  </si>
  <si>
    <t>Eco Storage 158</t>
  </si>
  <si>
    <t>ORD-2024-10192</t>
  </si>
  <si>
    <t>Prime Bookcases 602</t>
  </si>
  <si>
    <t>ORD-2024-10193</t>
  </si>
  <si>
    <t>Eco Chairs 438</t>
  </si>
  <si>
    <t>ORD-2024-10194</t>
  </si>
  <si>
    <t>Prime Copiers 142</t>
  </si>
  <si>
    <t>ORD-2025-10195</t>
  </si>
  <si>
    <t>Prime Furnishings 433</t>
  </si>
  <si>
    <t>ORD-2025-10196</t>
  </si>
  <si>
    <t>Smart Furnishings 685</t>
  </si>
  <si>
    <t>ORD-2024-10197</t>
  </si>
  <si>
    <t>Elite Storage 915</t>
  </si>
  <si>
    <t>ORD-2025-10198</t>
  </si>
  <si>
    <t>Basic Storage 961</t>
  </si>
  <si>
    <t>ORD-2024-10199</t>
  </si>
  <si>
    <t>Classic Art 968</t>
  </si>
  <si>
    <t>ORD-2024-10200</t>
  </si>
  <si>
    <t>Prime Machines 806</t>
  </si>
  <si>
    <t>ORD-2025-10201</t>
  </si>
  <si>
    <t>Classic Copiers 479</t>
  </si>
  <si>
    <t>ORD-2025-10202</t>
  </si>
  <si>
    <t>Basic Labels 511</t>
  </si>
  <si>
    <t>ORD-2025-10203</t>
  </si>
  <si>
    <t>Prime Accessories 733</t>
  </si>
  <si>
    <t>ORD-2024-10204</t>
  </si>
  <si>
    <t>Max Accessories 186</t>
  </si>
  <si>
    <t>ORD-2025-10205</t>
  </si>
  <si>
    <t>Elite Tables 318</t>
  </si>
  <si>
    <t>ORD-2025-10206</t>
  </si>
  <si>
    <t>Smart Labels 354</t>
  </si>
  <si>
    <t>ORD-2025-10207</t>
  </si>
  <si>
    <t>Pro Furnishings 981</t>
  </si>
  <si>
    <t>ORD-2024-10208</t>
  </si>
  <si>
    <t>Eco Bookcases 671</t>
  </si>
  <si>
    <t>ORD-2025-10209</t>
  </si>
  <si>
    <t>Max Chairs 151</t>
  </si>
  <si>
    <t>ORD-2025-10210</t>
  </si>
  <si>
    <t>Prime Paper 903</t>
  </si>
  <si>
    <t>ORD-2024-10211</t>
  </si>
  <si>
    <t>Classic Machines 944</t>
  </si>
  <si>
    <t>ORD-2024-10212</t>
  </si>
  <si>
    <t>Basic Copiers 222</t>
  </si>
  <si>
    <t>ORD-2024-10213</t>
  </si>
  <si>
    <t>Max Phones 329</t>
  </si>
  <si>
    <t>ORD-2024-10214</t>
  </si>
  <si>
    <t>Classic Accessories 840</t>
  </si>
  <si>
    <t>ORD-2024-10215</t>
  </si>
  <si>
    <t>Classic Accessories 757</t>
  </si>
  <si>
    <t>ORD-2024-10216</t>
  </si>
  <si>
    <t>Prime Paper 286</t>
  </si>
  <si>
    <t>ORD-2025-10217</t>
  </si>
  <si>
    <t>Basic Tables 400</t>
  </si>
  <si>
    <t>ORD-2025-10218</t>
  </si>
  <si>
    <t>Basic Bookcases 405</t>
  </si>
  <si>
    <t>ORD-2025-10219</t>
  </si>
  <si>
    <t>Classic Bookcases 139</t>
  </si>
  <si>
    <t>ORD-2024-10220</t>
  </si>
  <si>
    <t>Elite Machines 290</t>
  </si>
  <si>
    <t>85%</t>
  </si>
  <si>
    <t>ORD-2024-10221</t>
  </si>
  <si>
    <t>Elite Storage 925</t>
  </si>
  <si>
    <t>ORD-2025-10222</t>
  </si>
  <si>
    <t>Classic Chairs 231</t>
  </si>
  <si>
    <t>ORD-2025-10223</t>
  </si>
  <si>
    <t>Prime Storage 818</t>
  </si>
  <si>
    <t>ORD-2025-10224</t>
  </si>
  <si>
    <t>Elite Furnishings 449</t>
  </si>
  <si>
    <t>ORD-2025-10225</t>
  </si>
  <si>
    <t>Classic Furnishings 109</t>
  </si>
  <si>
    <t>ORD-2024-10226</t>
  </si>
  <si>
    <t>Classic Phones 548</t>
  </si>
  <si>
    <t>ORD-2025-10227</t>
  </si>
  <si>
    <t>Max Copiers 363</t>
  </si>
  <si>
    <t>ORD-2024-10228</t>
  </si>
  <si>
    <t>Prime Binders 507</t>
  </si>
  <si>
    <t>ORD-2024-10229</t>
  </si>
  <si>
    <t>Smart Labels 914</t>
  </si>
  <si>
    <t>ORD-2025-10230</t>
  </si>
  <si>
    <t>Smart Bookcases 662</t>
  </si>
  <si>
    <t>ORD-2024-10231</t>
  </si>
  <si>
    <t>Eco Paper 937</t>
  </si>
  <si>
    <t>ORD-2024-10232</t>
  </si>
  <si>
    <t>Office  Supplies</t>
  </si>
  <si>
    <t>Max Labels 370</t>
  </si>
  <si>
    <t>ORD-2025-10233</t>
  </si>
  <si>
    <t>Classic Phones 530</t>
  </si>
  <si>
    <t>ORD-2024-10234</t>
  </si>
  <si>
    <t>Smart Bookcases 328</t>
  </si>
  <si>
    <t>ORD-2024-10235</t>
  </si>
  <si>
    <t>Eco Furnishings 981</t>
  </si>
  <si>
    <t>ORD-2024-10236</t>
  </si>
  <si>
    <t>Basic Storage 195</t>
  </si>
  <si>
    <t>ORD-2024-10237</t>
  </si>
  <si>
    <t>Elite Bookcases 907</t>
  </si>
  <si>
    <t>ORD-2024-10238</t>
  </si>
  <si>
    <t>Smart Copiers 471</t>
  </si>
  <si>
    <t>ORD-2024-10239</t>
  </si>
  <si>
    <t>Prime Storage 625</t>
  </si>
  <si>
    <t>ORD-2024-10240</t>
  </si>
  <si>
    <t>Smart Machines 801</t>
  </si>
  <si>
    <t>ORD-2024-10241</t>
  </si>
  <si>
    <t>Max Binders 170</t>
  </si>
  <si>
    <t>ORD-2025-10242</t>
  </si>
  <si>
    <t>Basic Storage 737</t>
  </si>
  <si>
    <t>ORD-2025-10243</t>
  </si>
  <si>
    <t>Classic Art 126</t>
  </si>
  <si>
    <t>ORD-2025-10244</t>
  </si>
  <si>
    <t>Prime Accessories 243</t>
  </si>
  <si>
    <t>ORD-2024-10245</t>
  </si>
  <si>
    <t>Eco Bookcases 768</t>
  </si>
  <si>
    <t>ORD-2024-10246</t>
  </si>
  <si>
    <t>FURNITURE</t>
  </si>
  <si>
    <t>Pro Chairs 316</t>
  </si>
  <si>
    <t>ORD-2024-10247</t>
  </si>
  <si>
    <t>Classic Machines 819</t>
  </si>
  <si>
    <t>ORD-2024-10248</t>
  </si>
  <si>
    <t>Smart Accessories 572</t>
  </si>
  <si>
    <t>ORD-2024-10249</t>
  </si>
  <si>
    <t>Basic Labels 432</t>
  </si>
  <si>
    <t>ORD-2025-10250</t>
  </si>
  <si>
    <t>Classic Furnishings 378</t>
  </si>
  <si>
    <t>ORD-2024-10251</t>
  </si>
  <si>
    <t>Prime Furnishings 781</t>
  </si>
  <si>
    <t>ORD-2025-10252</t>
  </si>
  <si>
    <t>Prime Tables 263</t>
  </si>
  <si>
    <t>ORD-2025-10253</t>
  </si>
  <si>
    <t>Basic Storage 269</t>
  </si>
  <si>
    <t>ORD-2024-10254</t>
  </si>
  <si>
    <t>Classic Phones 442</t>
  </si>
  <si>
    <t>ORD-2025-10255</t>
  </si>
  <si>
    <t>Elite Accessories 978</t>
  </si>
  <si>
    <t>ORD-2025-10256</t>
  </si>
  <si>
    <t>Eco Phones 132</t>
  </si>
  <si>
    <t>ORD-2024-10257</t>
  </si>
  <si>
    <t>Prime Tables 481</t>
  </si>
  <si>
    <t>ORD-2025-10258</t>
  </si>
  <si>
    <t>Smart Accessories 180</t>
  </si>
  <si>
    <t>ORD-2024-10259</t>
  </si>
  <si>
    <t>Smart Tables 774</t>
  </si>
  <si>
    <t>ORD-2024-10260</t>
  </si>
  <si>
    <t>Prime Machines 793</t>
  </si>
  <si>
    <t>ORD-2025-10261</t>
  </si>
  <si>
    <t>Elite Binders 827</t>
  </si>
  <si>
    <t>ORD-2025-10262</t>
  </si>
  <si>
    <t>Prime Labels 326</t>
  </si>
  <si>
    <t>ORD-2025-10263</t>
  </si>
  <si>
    <t>Eco Phones 245</t>
  </si>
  <si>
    <t>ORD-2025-10264</t>
  </si>
  <si>
    <t>Smart Binders 905</t>
  </si>
  <si>
    <t>ORD-2024-10265</t>
  </si>
  <si>
    <t>Pro Copiers 599</t>
  </si>
  <si>
    <t>ORD-2024-10266</t>
  </si>
  <si>
    <t>Basic Bookcases 570</t>
  </si>
  <si>
    <t>ORD-2025-10267</t>
  </si>
  <si>
    <t>Classic Storage 926</t>
  </si>
  <si>
    <t>ORD-2025-10268</t>
  </si>
  <si>
    <t>Basic Furnishings 372</t>
  </si>
  <si>
    <t>ORD-2025-10269</t>
  </si>
  <si>
    <t>Prime Accessories 367</t>
  </si>
  <si>
    <t>ORD-2025-10270</t>
  </si>
  <si>
    <t>Max Tables 526</t>
  </si>
  <si>
    <t>ORD-2024-10271</t>
  </si>
  <si>
    <t>Prime Machines 794</t>
  </si>
  <si>
    <t>ORD-2024-10272</t>
  </si>
  <si>
    <t>Max Binders 927</t>
  </si>
  <si>
    <t>ORD-2024-10273</t>
  </si>
  <si>
    <t>Eco Chairs 314</t>
  </si>
  <si>
    <t>ORD-2025-10274</t>
  </si>
  <si>
    <t>Basic Paper 657</t>
  </si>
  <si>
    <t>ORD-2024-10275</t>
  </si>
  <si>
    <t>Pro Copiers 406</t>
  </si>
  <si>
    <t>ORD-2024-10276</t>
  </si>
  <si>
    <t>Eco Furnishings 678</t>
  </si>
  <si>
    <t>ORD-2024-10277</t>
  </si>
  <si>
    <t>Basic Chairs 141</t>
  </si>
  <si>
    <t>ORD-2025-10278</t>
  </si>
  <si>
    <t>Elite Accessories 291</t>
  </si>
  <si>
    <t>ORD-2025-10279</t>
  </si>
  <si>
    <t>Pro Accessories 207</t>
  </si>
  <si>
    <t>ORD-2024-10280</t>
  </si>
  <si>
    <t>Max Storage 564</t>
  </si>
  <si>
    <t>ORD-2024-10281</t>
  </si>
  <si>
    <t>Prime Copiers 961</t>
  </si>
  <si>
    <t>ORD-2025-10282</t>
  </si>
  <si>
    <t>Basic Binders 637</t>
  </si>
  <si>
    <t>ORD-2024-10283</t>
  </si>
  <si>
    <t>Classic Tables 811</t>
  </si>
  <si>
    <t>ORD-2025-10284</t>
  </si>
  <si>
    <t>Classic Furnishings 819</t>
  </si>
  <si>
    <t>ORD-2024-10285</t>
  </si>
  <si>
    <t>Prime Tables 542</t>
  </si>
  <si>
    <t>ORD-2025-10286</t>
  </si>
  <si>
    <t>Basic Storage 771</t>
  </si>
  <si>
    <t>ORD-2024-10287</t>
  </si>
  <si>
    <t>Pro Furnishings 848</t>
  </si>
  <si>
    <t>ORD-2024-10288</t>
  </si>
  <si>
    <t>Prime Copiers 924</t>
  </si>
  <si>
    <t>ORD-2024-10289</t>
  </si>
  <si>
    <t>Classic Binders 721</t>
  </si>
  <si>
    <t>ORD-2025-10290</t>
  </si>
  <si>
    <t>Basic Bookcases 823</t>
  </si>
  <si>
    <t>ORD-2025-10291</t>
  </si>
  <si>
    <t>Classic Tables 178</t>
  </si>
  <si>
    <t>ORD-2024-10292</t>
  </si>
  <si>
    <t>Eco Binders 153</t>
  </si>
  <si>
    <t>ORD-2025-10293</t>
  </si>
  <si>
    <t>Classic Art 183</t>
  </si>
  <si>
    <t>ORD-2024-10294</t>
  </si>
  <si>
    <t>Pro Phones 455</t>
  </si>
  <si>
    <t>ORD-2025-10295</t>
  </si>
  <si>
    <t>Basic Phones 326</t>
  </si>
  <si>
    <t>ORD-2025-10296</t>
  </si>
  <si>
    <t>Max Binders 587</t>
  </si>
  <si>
    <t>ORD-2025-10297</t>
  </si>
  <si>
    <t>Basic Furnishings 617</t>
  </si>
  <si>
    <t>ORD-2024-10298</t>
  </si>
  <si>
    <t>Prime Copiers 669</t>
  </si>
  <si>
    <t>ORD-2025-10299</t>
  </si>
  <si>
    <t>Eco Copiers 894</t>
  </si>
  <si>
    <t>ORD-2024-10300</t>
  </si>
  <si>
    <t>Max Accessories 145</t>
  </si>
  <si>
    <t>ORD-2024-10301</t>
  </si>
  <si>
    <t>Classic Accessories 126</t>
  </si>
  <si>
    <t>ORD-2025-10302</t>
  </si>
  <si>
    <t>Elite Phones 202</t>
  </si>
  <si>
    <t>ORD-2025-10303</t>
  </si>
  <si>
    <t>Elite Storage 535</t>
  </si>
  <si>
    <t>ORD-2024-10304</t>
  </si>
  <si>
    <t>Elite Chairs 107</t>
  </si>
  <si>
    <t>ORD-2024-10305</t>
  </si>
  <si>
    <t>Pro Furnishings 991</t>
  </si>
  <si>
    <t>ORD-2024-10306</t>
  </si>
  <si>
    <t>Eco Chairs 105</t>
  </si>
  <si>
    <t>ORD-2025-10307</t>
  </si>
  <si>
    <t>Pro Phones 530</t>
  </si>
  <si>
    <t>ORD-2025-10308</t>
  </si>
  <si>
    <t>Basic Tables 911</t>
  </si>
  <si>
    <t>PENDING</t>
  </si>
  <si>
    <t>ORD-2025-10309</t>
  </si>
  <si>
    <t>Classic Tables 224</t>
  </si>
  <si>
    <t>ORD-2024-10310</t>
  </si>
  <si>
    <t>Prime Tables 214</t>
  </si>
  <si>
    <t>ORD-2024-10311</t>
  </si>
  <si>
    <t>Max Machines 988</t>
  </si>
  <si>
    <t>ORD-2024-10312</t>
  </si>
  <si>
    <t>Max Binders 425</t>
  </si>
  <si>
    <t>ORD-2024-10313</t>
  </si>
  <si>
    <t>Elite Phones 679</t>
  </si>
  <si>
    <t>ORD-2025-10314</t>
  </si>
  <si>
    <t>Pro Phones 764</t>
  </si>
  <si>
    <t>ORD-2025-10315</t>
  </si>
  <si>
    <t>Elite Labels 544</t>
  </si>
  <si>
    <t>ORD-2024-10316</t>
  </si>
  <si>
    <t>Smart Paper 817</t>
  </si>
  <si>
    <t>ORD-2024-10317</t>
  </si>
  <si>
    <t>Classic Labels 466</t>
  </si>
  <si>
    <t>ORD-2025-10318</t>
  </si>
  <si>
    <t>Pro Tables 778</t>
  </si>
  <si>
    <t>ORD-2024-10319</t>
  </si>
  <si>
    <t>Basic Phones 789</t>
  </si>
  <si>
    <t>ORD-2024-10320</t>
  </si>
  <si>
    <t>Prime Binders 554</t>
  </si>
  <si>
    <t>ORD-2024-10321</t>
  </si>
  <si>
    <t>Classic Art 299</t>
  </si>
  <si>
    <t>ORD-2024-10322</t>
  </si>
  <si>
    <t>Eco Accessories 220</t>
  </si>
  <si>
    <t>ORD-2024-10323</t>
  </si>
  <si>
    <t>Max Phones 422</t>
  </si>
  <si>
    <t>ORD-2024-10324</t>
  </si>
  <si>
    <t>ORD-2025-10325</t>
  </si>
  <si>
    <t>Basic Labels 102</t>
  </si>
  <si>
    <t>ORD-2025-10326</t>
  </si>
  <si>
    <t>Prime Copiers 170</t>
  </si>
  <si>
    <t>ORD-2025-10327</t>
  </si>
  <si>
    <t>Smart Furnishings 533</t>
  </si>
  <si>
    <t>ORD-2024-10328</t>
  </si>
  <si>
    <t>Classic Accessories 489</t>
  </si>
  <si>
    <t>ORD-2025-10329</t>
  </si>
  <si>
    <t>Smart Storage 439</t>
  </si>
  <si>
    <t>ORD-2025-10330</t>
  </si>
  <si>
    <t>Prime Storage 232</t>
  </si>
  <si>
    <t>ORD-2024-10331</t>
  </si>
  <si>
    <t>Prime Accessories 335</t>
  </si>
  <si>
    <t>ORD-2024-10332</t>
  </si>
  <si>
    <t>Smart Binders 939</t>
  </si>
  <si>
    <t>ORD-2025-10333</t>
  </si>
  <si>
    <t>machines</t>
  </si>
  <si>
    <t>Basic Machines 601</t>
  </si>
  <si>
    <t>ORD-2025-10334</t>
  </si>
  <si>
    <t>Pro Phones 968</t>
  </si>
  <si>
    <t>ORD-2024-10335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</si>
  <si>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</si>
  <si>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</si>
  <si>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</si>
  <si>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</si>
  <si>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</si>
  <si>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</si>
  <si>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</si>
  <si>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Classic Labels 206</t>
  </si>
  <si>
    <t>ORD-2024-10339</t>
  </si>
  <si>
    <t>Eco Accessories 315</t>
  </si>
  <si>
    <t>ORD-2025-10340</t>
  </si>
  <si>
    <t>Elite Bookcases 988</t>
  </si>
  <si>
    <t>ORD-2024-10341</t>
  </si>
  <si>
    <t>Smart Binders 414</t>
  </si>
  <si>
    <t>ORD-2025-10342</t>
  </si>
  <si>
    <t>Eco Chairs 552</t>
  </si>
  <si>
    <t>ORD-2025-10343</t>
  </si>
  <si>
    <t>Smart Binders 574</t>
  </si>
  <si>
    <t>ORD-2025-10344</t>
  </si>
  <si>
    <t>Pro Machines 444</t>
  </si>
  <si>
    <t>ORD-2024-10345</t>
  </si>
  <si>
    <t>Elite Bookcases 184</t>
  </si>
  <si>
    <t>ORD-2024-10346</t>
  </si>
  <si>
    <t>Elite Furnishings 138</t>
  </si>
  <si>
    <t>ORD-2025-10347</t>
  </si>
  <si>
    <t>Eco Chairs 369</t>
  </si>
  <si>
    <t>ORD-2024-10348</t>
  </si>
  <si>
    <t>Max Chairs 487</t>
  </si>
  <si>
    <t>ORD-2024-10349</t>
  </si>
  <si>
    <t>Classic Phones 989</t>
  </si>
  <si>
    <t>ORD-2025-10350</t>
  </si>
  <si>
    <t>Max Furnishings 628</t>
  </si>
  <si>
    <t>ORD-2024-10351</t>
  </si>
  <si>
    <t>Elite Furnishings 279</t>
  </si>
  <si>
    <t>ORD-2025-10352</t>
  </si>
  <si>
    <t>Pro Storage 847</t>
  </si>
  <si>
    <t>ORD-2025-10353</t>
  </si>
  <si>
    <t>Elite Copiers 706</t>
  </si>
  <si>
    <t>ORD-2025-10354</t>
  </si>
  <si>
    <t>Prime Art 978</t>
  </si>
  <si>
    <t>ORD-2024-10355</t>
  </si>
  <si>
    <t>Classic Furnishings 498</t>
  </si>
  <si>
    <t>ORD-2024-10356</t>
  </si>
  <si>
    <t>Max Tables 829</t>
  </si>
  <si>
    <t>ORD-2025-10357</t>
  </si>
  <si>
    <t>Eco Chairs 346</t>
  </si>
  <si>
    <t>ORD-2025-10358</t>
  </si>
  <si>
    <t>Max Machines 770</t>
  </si>
  <si>
    <t>ORD-2025-10359</t>
  </si>
  <si>
    <t>Smart Bookcases 134</t>
  </si>
  <si>
    <t>ORD-2024-10360</t>
  </si>
  <si>
    <t>Classic Phones 586</t>
  </si>
  <si>
    <t>ORD-2024-10361</t>
  </si>
  <si>
    <t>Elite Furnishings 634</t>
  </si>
  <si>
    <t>ORD-2025-10362</t>
  </si>
  <si>
    <t>Basic Chairs 113</t>
  </si>
  <si>
    <t>ORD-2024-10363</t>
  </si>
  <si>
    <t>Elite Machines 216</t>
  </si>
  <si>
    <t>ORD-2025-10364</t>
  </si>
  <si>
    <t>Smart Tables 943</t>
  </si>
  <si>
    <t>ORD-2025-10365</t>
  </si>
  <si>
    <t>Prime Chairs 101</t>
  </si>
  <si>
    <t>ORD-2024-10366</t>
  </si>
  <si>
    <t>Basic Accessories 774</t>
  </si>
  <si>
    <t>ORD-2025-10367</t>
  </si>
  <si>
    <t>Max Tables 478</t>
  </si>
  <si>
    <t>ORD-2024-10368</t>
  </si>
  <si>
    <t>Eco Art 646</t>
  </si>
  <si>
    <t>ORD-2025-10369</t>
  </si>
  <si>
    <t>Prime Accessories 962</t>
  </si>
  <si>
    <t>ORD-2025-10370</t>
  </si>
  <si>
    <t>Eco Labels 646</t>
  </si>
  <si>
    <t>ORD-2024-10371</t>
  </si>
  <si>
    <t>Classic Copiers 505</t>
  </si>
  <si>
    <t>ORD-2024-10372</t>
  </si>
  <si>
    <t>Pro Art 906</t>
  </si>
  <si>
    <t>ORD-2025-10373</t>
  </si>
  <si>
    <t>Max Chairs 181</t>
  </si>
  <si>
    <t>ORD-2025-10374</t>
  </si>
  <si>
    <t>Prime Storage 951</t>
  </si>
  <si>
    <t>ORD-2025-10375</t>
  </si>
  <si>
    <t>Smart Labels 668</t>
  </si>
  <si>
    <t>ORD-2024-10376</t>
  </si>
  <si>
    <t>Pro Chairs 364</t>
  </si>
  <si>
    <t>ORD-2024-10377</t>
  </si>
  <si>
    <t>Basic Chairs 248</t>
  </si>
  <si>
    <t>ORD-2025-10378</t>
  </si>
  <si>
    <t>storage</t>
  </si>
  <si>
    <t>Basic Storage 360</t>
  </si>
  <si>
    <t>ORD-2025-10379</t>
  </si>
  <si>
    <t>Basic Accessories 988</t>
  </si>
  <si>
    <t>ORD-2024-10380</t>
  </si>
  <si>
    <t>Max Paper 334</t>
  </si>
  <si>
    <t>ORD-2024-10381</t>
  </si>
  <si>
    <t>Prime Bookcases 952</t>
  </si>
  <si>
    <t>ORD-2025-10382</t>
  </si>
  <si>
    <t>Prime Binders 523</t>
  </si>
  <si>
    <t>ORD-2025-10383</t>
  </si>
  <si>
    <t>TECHNOLOGY</t>
  </si>
  <si>
    <t>Pro Phones 538</t>
  </si>
  <si>
    <t>ORD-2025-10384</t>
  </si>
  <si>
    <t>Basic Art 608</t>
  </si>
  <si>
    <t>ORD-2024-10385</t>
  </si>
  <si>
    <t>Prime Copiers 820</t>
  </si>
  <si>
    <t>ORD-2025-10386</t>
  </si>
  <si>
    <t>Classic Labels 670</t>
  </si>
  <si>
    <t>ORD-2025-10387</t>
  </si>
  <si>
    <t>Prime Furnishings 597</t>
  </si>
  <si>
    <t>ORD-2025-10388</t>
  </si>
  <si>
    <t>Prime Chairs 196</t>
  </si>
  <si>
    <t>ORD-2024-10389</t>
  </si>
  <si>
    <t>Elite Chairs 639</t>
  </si>
  <si>
    <t>ORD-2024-10390</t>
  </si>
  <si>
    <t>Elite Machines 563</t>
  </si>
  <si>
    <t>ORD-2024-10391</t>
  </si>
  <si>
    <t>Pro Furnishings 281</t>
  </si>
  <si>
    <t>ORD-2025-10392</t>
  </si>
  <si>
    <t>Eco Storage 285</t>
  </si>
  <si>
    <t>ORD-2024-10393</t>
  </si>
  <si>
    <t>Classic Furnishings 746</t>
  </si>
  <si>
    <t>ORD-2024-10394</t>
  </si>
  <si>
    <t>Eco Labels 815</t>
  </si>
  <si>
    <t>ORD-2024-10395</t>
  </si>
  <si>
    <t>Prime Furnishings 879</t>
  </si>
  <si>
    <t>ORD-2024-10396</t>
  </si>
  <si>
    <t>Pro Tables 142</t>
  </si>
  <si>
    <t>ORD-2025-10397</t>
  </si>
  <si>
    <t>Prime Machines 267</t>
  </si>
  <si>
    <t>ORD-2025-10398</t>
  </si>
  <si>
    <t>Eco Tables 378</t>
  </si>
  <si>
    <t>ORD-2024-10399</t>
  </si>
  <si>
    <t>Elite Machines 523</t>
  </si>
  <si>
    <t>ORD-2025-10400</t>
  </si>
  <si>
    <t>Elite Paper 308</t>
  </si>
  <si>
    <t>ORD-2025-10401</t>
  </si>
  <si>
    <t>Prime Paper 851</t>
  </si>
  <si>
    <t>ORD-2025-10402</t>
  </si>
  <si>
    <t>Classic Tables 151</t>
  </si>
  <si>
    <t>ORD-2024-10403</t>
  </si>
  <si>
    <t>Smart Tables 829</t>
  </si>
  <si>
    <t>ORD-2024-10404</t>
  </si>
  <si>
    <t>PAPER</t>
  </si>
  <si>
    <t>Classic Paper 237</t>
  </si>
  <si>
    <t>ORD-2024-10405</t>
  </si>
  <si>
    <t>Prime Chairs 891</t>
  </si>
  <si>
    <t>ORD-2024-10406</t>
  </si>
  <si>
    <t>Max Bookcases 812</t>
  </si>
  <si>
    <t>ORD-2025-10407</t>
  </si>
  <si>
    <t>Basic Furnishings 164</t>
  </si>
  <si>
    <t>ORD-2024-10408</t>
  </si>
  <si>
    <t>Smart Labels 261</t>
  </si>
  <si>
    <t>ORD-2025-10409</t>
  </si>
  <si>
    <t>Max Chairs 765</t>
  </si>
  <si>
    <t>ORD-2025-10410</t>
  </si>
  <si>
    <t>Pro Accessories 686</t>
  </si>
  <si>
    <t>ORD-2024-10411</t>
  </si>
  <si>
    <t>Smart Tables 100</t>
  </si>
  <si>
    <t>ORD-2025-10412</t>
  </si>
  <si>
    <t>Basic Tables 615</t>
  </si>
  <si>
    <t>ORD-2024-10413</t>
  </si>
  <si>
    <t>Basic Chairs 790</t>
  </si>
  <si>
    <t>ORD-2025-10414</t>
  </si>
  <si>
    <t>Smart Accessories 226</t>
  </si>
  <si>
    <t>ORD-2024-10415</t>
  </si>
  <si>
    <t>Max Storage 692</t>
  </si>
  <si>
    <t>ORD-2024-10416</t>
  </si>
  <si>
    <t>Basic Storage 684</t>
  </si>
  <si>
    <t>ORD-2025-10417</t>
  </si>
  <si>
    <t>Smart Furnishings 152</t>
  </si>
  <si>
    <t>ORD-2025-10418</t>
  </si>
  <si>
    <t>Max Art 736</t>
  </si>
  <si>
    <t>ORD-2024-10419</t>
  </si>
  <si>
    <t>Elite Copiers 971</t>
  </si>
  <si>
    <t>ORD-2025-10420</t>
  </si>
  <si>
    <t>Classic Phones 940</t>
  </si>
  <si>
    <t>ORD-2025-10421</t>
  </si>
  <si>
    <t>Pro Machines 579</t>
  </si>
  <si>
    <t>ORD-2025-10422</t>
  </si>
  <si>
    <t>Elite Binders 943</t>
  </si>
  <si>
    <t>ORD-2025-10423</t>
  </si>
  <si>
    <t>Elite Copiers 474</t>
  </si>
  <si>
    <t>ORD-2024-10424</t>
  </si>
  <si>
    <t>Prime Accessories 236</t>
  </si>
  <si>
    <t>FIRST CLASS</t>
  </si>
  <si>
    <t>ORD-2024-10425</t>
  </si>
  <si>
    <t>Prime Phones 881</t>
  </si>
  <si>
    <t>ORD-2024-10426</t>
  </si>
  <si>
    <t>Pro Labels 903</t>
  </si>
  <si>
    <t>ORD-2024-10427</t>
  </si>
  <si>
    <t>Max Copiers 402</t>
  </si>
  <si>
    <t>ORD-2025-10428</t>
  </si>
  <si>
    <t>Prime Accessories 419</t>
  </si>
  <si>
    <t>ORD-2025-10429</t>
  </si>
  <si>
    <t>Elite Phones 488</t>
  </si>
  <si>
    <t>ORD-2025-10430</t>
  </si>
  <si>
    <t>Prime Copiers 109</t>
  </si>
  <si>
    <t>ORD-2024-10431</t>
  </si>
  <si>
    <t>Max Paper 576</t>
  </si>
  <si>
    <t>ORD-2024-10432</t>
  </si>
  <si>
    <t>Max Machines 412</t>
  </si>
  <si>
    <t>ORD-2024-10433</t>
  </si>
  <si>
    <t>Classic Bookcases 291</t>
  </si>
  <si>
    <t>ORD-2024-10434</t>
  </si>
  <si>
    <t>Elite Art 946</t>
  </si>
  <si>
    <t>ORD-2025-10435</t>
  </si>
  <si>
    <t>Eco Accessories 705</t>
  </si>
  <si>
    <t>ORD-2025-10436</t>
  </si>
  <si>
    <t>Max Machines 151</t>
  </si>
  <si>
    <t>ORD-2024-10437</t>
  </si>
  <si>
    <t>Max Furnishings 803</t>
  </si>
  <si>
    <t>ORD-2024-10438</t>
  </si>
  <si>
    <t>Max Accessories 423</t>
  </si>
  <si>
    <t>ORD-2025-10439</t>
  </si>
  <si>
    <t>Elite Phones 276</t>
  </si>
  <si>
    <t>ORD-2025-10440</t>
  </si>
  <si>
    <t>Smart Storage 287</t>
  </si>
  <si>
    <t>ORD-2024-10441</t>
  </si>
  <si>
    <t>Basic Machines 610</t>
  </si>
  <si>
    <t>ORD-2024-10442</t>
  </si>
  <si>
    <t>Elite Bookcases 393</t>
  </si>
  <si>
    <t>ORD-2025-10443</t>
  </si>
  <si>
    <t>Prime Tables 242</t>
  </si>
  <si>
    <t>ORD-2024-10444</t>
  </si>
  <si>
    <t>Basic Furnishings 563</t>
  </si>
  <si>
    <t>ORD-2025-10445</t>
  </si>
  <si>
    <t>Prime Accessories 482</t>
  </si>
  <si>
    <t>ORD-2024-10446</t>
  </si>
  <si>
    <t>Eco Bookcases 215</t>
  </si>
  <si>
    <t>ORD-2025-10447</t>
  </si>
  <si>
    <t>Eco Storage 793</t>
  </si>
  <si>
    <t>ORD-2025-10448</t>
  </si>
  <si>
    <t>Basic Bookcases 182</t>
  </si>
  <si>
    <t>ORD-2024-10449</t>
  </si>
  <si>
    <t>Prime Chairs 631</t>
  </si>
  <si>
    <t>ORD-2024-10450</t>
  </si>
  <si>
    <t>Basic Machines 808</t>
  </si>
  <si>
    <t>ORD-2025-10451</t>
  </si>
  <si>
    <t>Pro Chairs 302</t>
  </si>
  <si>
    <t>ORD-2024-10452</t>
  </si>
  <si>
    <t>Classic Paper 272</t>
  </si>
  <si>
    <t>ORD-2024-10453</t>
  </si>
  <si>
    <t>Smart Accessories 149</t>
  </si>
  <si>
    <t>ORD-2025-10454</t>
  </si>
  <si>
    <t>Elite Labels 322</t>
  </si>
  <si>
    <t>ORD-2025-10455</t>
  </si>
  <si>
    <t>Max Furnishings 821</t>
  </si>
  <si>
    <t>ORD-2024-10456</t>
  </si>
  <si>
    <t>Basic Art 556</t>
  </si>
  <si>
    <t>ORD-2024-10457</t>
  </si>
  <si>
    <t>Smart Accessories 265</t>
  </si>
  <si>
    <t>ORD-2024-10458</t>
  </si>
  <si>
    <t>Elite Tables 418</t>
  </si>
  <si>
    <t>ORD-2024-10459</t>
  </si>
  <si>
    <t>Pro Phones 907</t>
  </si>
  <si>
    <t>ORD-2024-10460</t>
  </si>
  <si>
    <t>Basic Paper 233</t>
  </si>
  <si>
    <t>ORD-2025-10461</t>
  </si>
  <si>
    <t>Eco Copiers 603</t>
  </si>
  <si>
    <t>ORD-2025-10462</t>
  </si>
  <si>
    <t>Max Paper 700</t>
  </si>
  <si>
    <t>ORD-2024-10463</t>
  </si>
  <si>
    <t>Pro Binders 404</t>
  </si>
  <si>
    <t>ORD-2025-10464</t>
  </si>
  <si>
    <t>Eco Phones 208</t>
  </si>
  <si>
    <t>ORD-2025-10465</t>
  </si>
  <si>
    <t>Elite Paper 106</t>
  </si>
  <si>
    <t>ORD-2024-10466</t>
  </si>
  <si>
    <t>Eco Labels 914</t>
  </si>
  <si>
    <t>ORD-2024-10467</t>
  </si>
  <si>
    <t>Max Accessories 486</t>
  </si>
  <si>
    <t>ORD-2024-10468</t>
  </si>
  <si>
    <t>Max Copiers 867</t>
  </si>
  <si>
    <t>ORD-2025-10469</t>
  </si>
  <si>
    <t>Pro Binders 555</t>
  </si>
  <si>
    <t>ORD-2024-10470</t>
  </si>
  <si>
    <t>Pro Copiers 971</t>
  </si>
  <si>
    <t>ORD-2024-10471</t>
  </si>
  <si>
    <t>Pro Tables 833</t>
  </si>
  <si>
    <t>ORD-2024-10472</t>
  </si>
  <si>
    <t>Prime Binders 497</t>
  </si>
  <si>
    <t>ORD-2024-10473</t>
  </si>
  <si>
    <t>Pro Storage 756</t>
  </si>
  <si>
    <t>ORD-2024-10474</t>
  </si>
  <si>
    <t>Max Copiers 829</t>
  </si>
  <si>
    <t>ORD-2024-10475</t>
  </si>
  <si>
    <t>Prime Furnishings 827</t>
  </si>
  <si>
    <t>ORD-2025-10476</t>
  </si>
  <si>
    <t>Eco Chairs 365</t>
  </si>
  <si>
    <t>ORD-2024-10477</t>
  </si>
  <si>
    <t>Classic Storage 545</t>
  </si>
  <si>
    <t>ORD-2025-10478</t>
  </si>
  <si>
    <t>Pro Chairs 186</t>
  </si>
  <si>
    <t>ORD-2024-10479</t>
  </si>
  <si>
    <t>Classic Machines 561</t>
  </si>
  <si>
    <t>ORD-2024-10480</t>
  </si>
  <si>
    <t>Max Chairs 594</t>
  </si>
  <si>
    <t>ORD-2025-10481</t>
  </si>
  <si>
    <t>Eco Storage 923</t>
  </si>
  <si>
    <t>ORD-2025-10482</t>
  </si>
  <si>
    <t>Classic Machines 287</t>
  </si>
  <si>
    <t>ORD-2024-10483</t>
  </si>
  <si>
    <t>Basic Accessories 518</t>
  </si>
  <si>
    <t>ORD-2024-10484</t>
  </si>
  <si>
    <t>Pro Copiers 984</t>
  </si>
  <si>
    <t>ORD-2024-10485</t>
  </si>
  <si>
    <t>Max Furnishings 297</t>
  </si>
  <si>
    <t>ORD-2025-10486</t>
  </si>
  <si>
    <t>Elite Bookcases 802</t>
  </si>
  <si>
    <t>ORD-2025-10487</t>
  </si>
  <si>
    <t>Pro Tables 257</t>
  </si>
  <si>
    <t>ORD-2025-10488</t>
  </si>
  <si>
    <t>Prime Furnishings 299</t>
  </si>
  <si>
    <t>ORD-2024-10489</t>
  </si>
  <si>
    <t>Eco Tables 487</t>
  </si>
  <si>
    <t>ORD-2024-10490</t>
  </si>
  <si>
    <t>Prime Accessories 960</t>
  </si>
  <si>
    <t>ORD-2024-10491</t>
  </si>
  <si>
    <t>Smart Binders 191</t>
  </si>
  <si>
    <t>ORD-2025-10492</t>
  </si>
  <si>
    <t>Prime Accessories 118</t>
  </si>
  <si>
    <t>ORD-2025-10493</t>
  </si>
  <si>
    <t>Elite Storage 331</t>
  </si>
  <si>
    <t>ORD-2025-10494</t>
  </si>
  <si>
    <t>Prime Paper 996</t>
  </si>
  <si>
    <t>COMPLETED</t>
  </si>
  <si>
    <t>ORD-2024-10495</t>
  </si>
  <si>
    <t>Smart Phones 125</t>
  </si>
  <si>
    <t>ORD-2024-10496</t>
  </si>
  <si>
    <t>Eco Phones 220</t>
  </si>
  <si>
    <t>ORD-2025-10497</t>
  </si>
  <si>
    <t>Eco Chairs 795</t>
  </si>
  <si>
    <t>ORD-2024-10498</t>
  </si>
  <si>
    <t>Smart Accessories 896</t>
  </si>
  <si>
    <t>ORD-2025-10499</t>
  </si>
  <si>
    <t>Basic Chairs 255</t>
  </si>
  <si>
    <t>cancelled</t>
  </si>
  <si>
    <t>ORD-2024-10500</t>
  </si>
  <si>
    <t>Eco Chairs 210</t>
  </si>
  <si>
    <t>ORD-2024-10501</t>
  </si>
  <si>
    <t>Prime Phones 533</t>
  </si>
  <si>
    <t>ORD-2024-10502</t>
  </si>
  <si>
    <t>Elite Art 325</t>
  </si>
  <si>
    <t>ORD-2024-10503</t>
  </si>
  <si>
    <t>Prime Copiers 557</t>
  </si>
  <si>
    <t>ORD-2024-10504</t>
  </si>
  <si>
    <t>Smart Phones 674</t>
  </si>
  <si>
    <t>ORD-2025-10505</t>
  </si>
  <si>
    <t>Elite Art 553</t>
  </si>
  <si>
    <t>ORD-2024-10506</t>
  </si>
  <si>
    <t>Classic Art 339</t>
  </si>
  <si>
    <t>ORD-2024-10507</t>
  </si>
  <si>
    <t>Smart Furnishings 352</t>
  </si>
  <si>
    <t>ORD-2025-10508</t>
  </si>
  <si>
    <t>Classic Binders 602</t>
  </si>
  <si>
    <t>ORD-2024-10509</t>
  </si>
  <si>
    <t>Smart Machines 853</t>
  </si>
  <si>
    <t>ORD-2025-10510</t>
  </si>
  <si>
    <t>Classic Machines 599</t>
  </si>
  <si>
    <t>ORD-2024-10511</t>
  </si>
  <si>
    <t>Pro Storage 373</t>
  </si>
  <si>
    <t>ORD-2024-10512</t>
  </si>
  <si>
    <t>Smart Bookcases 920</t>
  </si>
  <si>
    <t>ORD-2025-10513</t>
  </si>
  <si>
    <t>Pro Labels 849</t>
  </si>
  <si>
    <t>ORD-2025-10514</t>
  </si>
  <si>
    <t>Prime Accessories 849</t>
  </si>
  <si>
    <t>ORD-2024-10515</t>
  </si>
  <si>
    <t>Smart Accessories 388</t>
  </si>
  <si>
    <t>ORD-2025-10516</t>
  </si>
  <si>
    <t>Classic Paper 752</t>
  </si>
  <si>
    <t>ORD-2024-10517</t>
  </si>
  <si>
    <t>Classic Copiers 143</t>
  </si>
  <si>
    <t>ORD-2025-10518</t>
  </si>
  <si>
    <t>Basic Furnishings 386</t>
  </si>
  <si>
    <t>ORD-2025-10519</t>
  </si>
  <si>
    <t>Classic Tables 592</t>
  </si>
  <si>
    <t>ORD-2025-10520</t>
  </si>
  <si>
    <t>Pro Tables 412</t>
  </si>
  <si>
    <t>ORD-2024-10521</t>
  </si>
  <si>
    <t>Prime Machines 393</t>
  </si>
  <si>
    <t>ORD-2025-10522</t>
  </si>
  <si>
    <t>Classic Labels 776</t>
  </si>
  <si>
    <t>ORD-2025-10523</t>
  </si>
  <si>
    <t>Max Phones 612</t>
  </si>
  <si>
    <t>ORD-2024-10524</t>
  </si>
  <si>
    <t>Basic Paper 315</t>
  </si>
  <si>
    <t>ORD-2024-10525</t>
  </si>
  <si>
    <t>Basic Chairs 333</t>
  </si>
  <si>
    <t>ORD-2024-10526</t>
  </si>
  <si>
    <t>Prime Chairs 215</t>
  </si>
  <si>
    <t>ORD-2025-10527</t>
  </si>
  <si>
    <t>Elite Tables 815</t>
  </si>
  <si>
    <t>ORD-2025-10528</t>
  </si>
  <si>
    <t>Basic Paper 388</t>
  </si>
  <si>
    <t>ORD-2024-10529</t>
  </si>
  <si>
    <t>Eco Binders 855</t>
  </si>
  <si>
    <t>ORD-2024-10530</t>
  </si>
  <si>
    <t>Classic Bookcases 947</t>
  </si>
  <si>
    <t>ORD-2025-10531</t>
  </si>
  <si>
    <t>Eco Binders 352</t>
  </si>
  <si>
    <t>ORD-2024-10532</t>
  </si>
  <si>
    <t>Pro Storage 364</t>
  </si>
  <si>
    <t>ORD-2025-10533</t>
  </si>
  <si>
    <t>Classic Tables 213</t>
  </si>
  <si>
    <t>ORD-2024-10534</t>
  </si>
  <si>
    <t>Smart Tables 659</t>
  </si>
  <si>
    <t>ORD-2025-10535</t>
  </si>
  <si>
    <t>Classic Accessories 325</t>
  </si>
  <si>
    <t>ORD-2024-10536</t>
  </si>
  <si>
    <t>Eco Copiers 243</t>
  </si>
  <si>
    <t>ORD-2025-10537</t>
  </si>
  <si>
    <t>Elite Chairs 777</t>
  </si>
  <si>
    <t>ORD-2024-10538</t>
  </si>
  <si>
    <t>Classic Art 772</t>
  </si>
  <si>
    <t>ORD-2024-10539</t>
  </si>
  <si>
    <t>Elite Tables 888</t>
  </si>
  <si>
    <t>ORD-2025-10540</t>
  </si>
  <si>
    <t>Classic Chairs 666</t>
  </si>
  <si>
    <t>ORD-2024-10541</t>
  </si>
  <si>
    <t>Basic Furnishings 350</t>
  </si>
  <si>
    <t>ORD-2025-10542</t>
  </si>
  <si>
    <t>Elite Copiers 831</t>
  </si>
  <si>
    <t>ORD-2024-10543</t>
  </si>
  <si>
    <t>Eco Bookcases 759</t>
  </si>
  <si>
    <t>CANCELLED</t>
  </si>
  <si>
    <t>ORD-2024-10544</t>
  </si>
  <si>
    <t>Max Copiers 440</t>
  </si>
  <si>
    <t>ORD-2025-10545</t>
  </si>
  <si>
    <t>Smart Art 201</t>
  </si>
  <si>
    <t>ORD-2024-10546</t>
  </si>
  <si>
    <t>Classic Storage 755</t>
  </si>
  <si>
    <t>ORD-2025-10547</t>
  </si>
  <si>
    <t>office supplies</t>
  </si>
  <si>
    <t>Prime Paper 143</t>
  </si>
  <si>
    <t>ORD-2024-10548</t>
  </si>
  <si>
    <t>Max Copiers 607</t>
  </si>
  <si>
    <t>ORD-2024-10549</t>
  </si>
  <si>
    <t>Prime Bookcases 402</t>
  </si>
  <si>
    <t>ORD-2025-10550</t>
  </si>
  <si>
    <t>Pro Art 287</t>
  </si>
  <si>
    <t>ORD-2024-10551</t>
  </si>
  <si>
    <t>Max Accessories 591</t>
  </si>
  <si>
    <t>ORD-2024-10552</t>
  </si>
  <si>
    <t>Elite Chairs 314</t>
  </si>
  <si>
    <t>ORD-2025-10553</t>
  </si>
  <si>
    <t>Pro Copiers 246</t>
  </si>
  <si>
    <t>ORD-2025-10554</t>
  </si>
  <si>
    <t>Pro Storage 128</t>
  </si>
  <si>
    <t>ORD-2024-10555</t>
  </si>
  <si>
    <t>Prime Furnishings 892</t>
  </si>
  <si>
    <t>ORD-2025-10556</t>
  </si>
  <si>
    <t>Prime Storage 689</t>
  </si>
  <si>
    <t>ORD-2024-10557</t>
  </si>
  <si>
    <t>Classic Tables 769</t>
  </si>
  <si>
    <t>ORD-2024-10558</t>
  </si>
  <si>
    <t>Prime Phones 503</t>
  </si>
  <si>
    <t>ORD-2025-10559</t>
  </si>
  <si>
    <t>Basic Machines 136</t>
  </si>
  <si>
    <t>ORD-2025-10560</t>
  </si>
  <si>
    <t>Basic Copiers 512</t>
  </si>
  <si>
    <t>ORD-2024-10561</t>
  </si>
  <si>
    <t>Smart Storage 767</t>
  </si>
  <si>
    <t>ORD-2025-10562</t>
  </si>
  <si>
    <t>Eco Copiers 954</t>
  </si>
  <si>
    <t>ORD-2024-10563</t>
  </si>
  <si>
    <t>Elite Binders 143</t>
  </si>
  <si>
    <t>ORD-2024-10564</t>
  </si>
  <si>
    <t>Classic Tables 560</t>
  </si>
  <si>
    <t>ORD-2024-10565</t>
  </si>
  <si>
    <t>Basic Tables 759</t>
  </si>
  <si>
    <t>ORD-2025-10566</t>
  </si>
  <si>
    <t>Prime Phones 564</t>
  </si>
  <si>
    <t>ORD-2024-10567</t>
  </si>
  <si>
    <t>Smart Paper 807</t>
  </si>
  <si>
    <t>ORD-2024-10568</t>
  </si>
  <si>
    <t>ORD-2024-10569</t>
  </si>
  <si>
    <t>Classic Machines 522</t>
  </si>
  <si>
    <t>ORD-2025-10570</t>
  </si>
  <si>
    <t>Elite Furnishings 822</t>
  </si>
  <si>
    <t>ORD-2025-10571</t>
  </si>
  <si>
    <t>Max Furnishings 647</t>
  </si>
  <si>
    <t>ORD-2025-10572</t>
  </si>
  <si>
    <t>Prime Phones 895</t>
  </si>
  <si>
    <t>ORD-2024-10573</t>
  </si>
  <si>
    <t>Eco Phones 368</t>
  </si>
  <si>
    <t>ORD-2025-10574</t>
  </si>
  <si>
    <t>Pro Phones 644</t>
  </si>
  <si>
    <t>ORD-2024-10575</t>
  </si>
  <si>
    <t>Smart Machines 566</t>
  </si>
  <si>
    <t>ORD-2025-10576</t>
  </si>
  <si>
    <t>Elite Furnishings 173</t>
  </si>
  <si>
    <t>ORD-2024-10577</t>
  </si>
  <si>
    <t>Smart Binders 417</t>
  </si>
  <si>
    <t>ORD-2025-10578</t>
  </si>
  <si>
    <t>Smart Furnishings 714</t>
  </si>
  <si>
    <t>ORD-2024-10579</t>
  </si>
  <si>
    <t>Elite Copiers 682</t>
  </si>
  <si>
    <t>ORD-2024-10580</t>
  </si>
  <si>
    <t>Pro Storage 482</t>
  </si>
  <si>
    <t>ORD-2025-10581</t>
  </si>
  <si>
    <t>Pro Chairs 888</t>
  </si>
  <si>
    <t>ORD-2025-10582</t>
  </si>
  <si>
    <t>Classic Art 611</t>
  </si>
  <si>
    <t>ORD-2024-10583</t>
  </si>
  <si>
    <t>Basic Art 174</t>
  </si>
  <si>
    <t>ORD-2024-10584</t>
  </si>
  <si>
    <t>Classic Storage 451</t>
  </si>
  <si>
    <t>ORD-2024-10585</t>
  </si>
  <si>
    <t>Pro Art 172</t>
  </si>
  <si>
    <t>ORD-2025-10586</t>
  </si>
  <si>
    <t>Prime Phones 744</t>
  </si>
  <si>
    <t>ORD-2025-10587</t>
  </si>
  <si>
    <t>Prime Binders 249</t>
  </si>
  <si>
    <t>ORD-2025-10588</t>
  </si>
  <si>
    <t>Eco Accessories 948</t>
  </si>
  <si>
    <t>ORD-2025-10589</t>
  </si>
  <si>
    <t>Classic Accessories 458</t>
  </si>
  <si>
    <t>ORD-2024-10590</t>
  </si>
  <si>
    <t>Max Phones 318</t>
  </si>
  <si>
    <t>ORD-2024-10591</t>
  </si>
  <si>
    <t>Elite Chairs 372</t>
  </si>
  <si>
    <t>ORD-2024-10592</t>
  </si>
  <si>
    <t>Eco Copiers 324</t>
  </si>
  <si>
    <t>ORD-2024-10593</t>
  </si>
  <si>
    <t>Classic Accessories 131</t>
  </si>
  <si>
    <t>ORD-2025-10594</t>
  </si>
  <si>
    <t>Eco Tables 550</t>
  </si>
  <si>
    <t>ORD-2024-10595</t>
  </si>
  <si>
    <t>Basic Chairs 932</t>
  </si>
  <si>
    <t>ORD-2025-10596</t>
  </si>
  <si>
    <t>Classic Phones 294</t>
  </si>
  <si>
    <t>ORD-2024-10597</t>
  </si>
  <si>
    <t>Elite Chairs 700</t>
  </si>
  <si>
    <t>ORD-2025-10598</t>
  </si>
  <si>
    <t>Prime Copiers 969</t>
  </si>
  <si>
    <t>ORD-2024-10599</t>
  </si>
  <si>
    <t>Eco Copiers 268</t>
  </si>
  <si>
    <t>ORD-2024-10600</t>
  </si>
  <si>
    <t>Pro Phones 588</t>
  </si>
  <si>
    <t>ORD-2025-10601</t>
  </si>
  <si>
    <t>Prime Storage 432</t>
  </si>
  <si>
    <t>ORD-2024-10602</t>
  </si>
  <si>
    <t>Basic Paper 452</t>
  </si>
  <si>
    <t>ORD-2024-10603</t>
  </si>
  <si>
    <t>Max Copiers 477</t>
  </si>
  <si>
    <t>ORD-2025-10604</t>
  </si>
  <si>
    <t>Prime Accessories 300</t>
  </si>
  <si>
    <t>ORD-2025-10605</t>
  </si>
  <si>
    <t>Max Binders 547</t>
  </si>
  <si>
    <t>ORD-2025-10606</t>
  </si>
  <si>
    <t>Pro Furnishings 267</t>
  </si>
  <si>
    <t>ORD-2025-10607</t>
  </si>
  <si>
    <t>Max Copiers 520</t>
  </si>
  <si>
    <t>ORD-2025-10608</t>
  </si>
  <si>
    <t>Max Storage 424</t>
  </si>
  <si>
    <t>ORD-2024-10609</t>
  </si>
  <si>
    <t>Elite Furnishings 706</t>
  </si>
  <si>
    <t>ORD-2025-10610</t>
  </si>
  <si>
    <t>Pro Chairs 908</t>
  </si>
  <si>
    <t>ORD-2024-10611</t>
  </si>
  <si>
    <t>Pro Chairs 712</t>
  </si>
  <si>
    <t>ORD-2025-10612</t>
  </si>
  <si>
    <t>Max Binders 785</t>
  </si>
  <si>
    <t>ORD-2025-10613</t>
  </si>
  <si>
    <t>Elite Phones 239</t>
  </si>
  <si>
    <t>ORD-2024-10614</t>
  </si>
  <si>
    <t>Basic Machines 413</t>
  </si>
  <si>
    <t>ORD-2024-10615</t>
  </si>
  <si>
    <t>Elite Chairs 140</t>
  </si>
  <si>
    <t>ORD-2024-10616</t>
  </si>
  <si>
    <t>Basic Art 771</t>
  </si>
  <si>
    <t>ORD-2024-10617</t>
  </si>
  <si>
    <t>Prime Paper 664</t>
  </si>
  <si>
    <t>ORD-2024-10618</t>
  </si>
  <si>
    <t>Pro Phones 226</t>
  </si>
  <si>
    <t>ORD-2024-10619</t>
  </si>
  <si>
    <t>Basic Tables 684</t>
  </si>
  <si>
    <t>ORD-2024-10620</t>
  </si>
  <si>
    <t>Prime Binders 938</t>
  </si>
  <si>
    <t>ORD-2024-10621</t>
  </si>
  <si>
    <t>Classic Machines 337</t>
  </si>
  <si>
    <t>ORD-2024-10622</t>
  </si>
  <si>
    <t>Max Chairs 748</t>
  </si>
  <si>
    <t>ORD-2025-10623</t>
  </si>
  <si>
    <t>Basic Storage 934</t>
  </si>
  <si>
    <t>ORD-2024-10624</t>
  </si>
  <si>
    <t>Pro Storage 509</t>
  </si>
  <si>
    <t>ORD-2024-10625</t>
  </si>
  <si>
    <t>Prime Chairs 765</t>
  </si>
  <si>
    <t>ORD-2024-10626</t>
  </si>
  <si>
    <t>Elite Chairs 358</t>
  </si>
  <si>
    <t>ORD-2025-10627</t>
  </si>
  <si>
    <t>Elite Machines 971</t>
  </si>
  <si>
    <t>ORD-2025-10628</t>
  </si>
  <si>
    <t>Max Phones 825</t>
  </si>
  <si>
    <t>ORD-2025-10629</t>
  </si>
  <si>
    <t>Eco Accessories 933</t>
  </si>
  <si>
    <t>ORD-2025-10630</t>
  </si>
  <si>
    <t>Max Tables 908</t>
  </si>
  <si>
    <t>ORD-2024-10631</t>
  </si>
  <si>
    <t>Elite Paper 239</t>
  </si>
  <si>
    <t>ORD-2024-10632</t>
  </si>
  <si>
    <t>Eco Chairs 452</t>
  </si>
  <si>
    <t>ORD-2025-10633</t>
  </si>
  <si>
    <t>Smart Furnishings 721</t>
  </si>
  <si>
    <t>ORD-2025-10634</t>
  </si>
  <si>
    <t>Basic Accessories 729</t>
  </si>
  <si>
    <t>ORD-2025-10635</t>
  </si>
  <si>
    <t>Classic Chairs 220</t>
  </si>
  <si>
    <t>ORD-2024-10636</t>
  </si>
  <si>
    <t>Max Chairs 305</t>
  </si>
  <si>
    <t>ORD-2024-10637</t>
  </si>
  <si>
    <t>Smart Paper 872</t>
  </si>
  <si>
    <t>ORD-2024-10638</t>
  </si>
  <si>
    <t>Max Copiers 994</t>
  </si>
  <si>
    <t>ORD-2024-10639</t>
  </si>
  <si>
    <t>Pro Storage 744</t>
  </si>
  <si>
    <t>ORD-2024-10640</t>
  </si>
  <si>
    <t>Elite Chairs 744</t>
  </si>
  <si>
    <t>ORD-2025-10641</t>
  </si>
  <si>
    <t>Basic Storage 973</t>
  </si>
  <si>
    <t>ORD-2025-10642</t>
  </si>
  <si>
    <t>Smart Furnishings 783</t>
  </si>
  <si>
    <t>ORD-2024-10643</t>
  </si>
  <si>
    <t>binders</t>
  </si>
  <si>
    <t>Prime Binders 287</t>
  </si>
  <si>
    <t>ORD-2024-10644</t>
  </si>
  <si>
    <t>Elite Labels 654</t>
  </si>
  <si>
    <t>ORD-2025-10645</t>
  </si>
  <si>
    <t>Pro Chairs 812</t>
  </si>
  <si>
    <t>ORD-2024-10646</t>
  </si>
  <si>
    <t>Basic Chairs 480</t>
  </si>
  <si>
    <t>ORD-2024-10647</t>
  </si>
  <si>
    <t>Elite Machines 955</t>
  </si>
  <si>
    <t>ORD-2025-10648</t>
  </si>
  <si>
    <t>Prime Art 461</t>
  </si>
  <si>
    <t>ORD-2024-10649</t>
  </si>
  <si>
    <t>Prime Art 301</t>
  </si>
  <si>
    <t>ORD-2025-10650</t>
  </si>
  <si>
    <t>Classic Accessories 354</t>
  </si>
  <si>
    <t>ORD-2024-10651</t>
  </si>
  <si>
    <t>Basic Accessories 210</t>
  </si>
  <si>
    <t>ORD-2025-10652</t>
  </si>
  <si>
    <t>Smart Paper 364</t>
  </si>
  <si>
    <t>ORD-2025-10653</t>
  </si>
  <si>
    <t>Smart Binders 999</t>
  </si>
  <si>
    <t>ORD-2025-10654</t>
  </si>
  <si>
    <t>Max Copiers 356</t>
  </si>
  <si>
    <t>ORD-2025-10655</t>
  </si>
  <si>
    <t>Classic Machines 639</t>
  </si>
  <si>
    <t>ORD-2025-10656</t>
  </si>
  <si>
    <t>Smart Furnishings 748</t>
  </si>
  <si>
    <t>ORD-2024-10657</t>
  </si>
  <si>
    <t>Pro Machines 589</t>
  </si>
  <si>
    <t>ORD-2025-10658</t>
  </si>
  <si>
    <t>Eco Storage 316</t>
  </si>
  <si>
    <t>ORD-2025-10659</t>
  </si>
  <si>
    <t>Eco Art 763</t>
  </si>
  <si>
    <t>ORD-2025-10660</t>
  </si>
  <si>
    <t>Pro Phones 356</t>
  </si>
  <si>
    <t>ORD-2025-10661</t>
  </si>
  <si>
    <t>Basic Phones 865</t>
  </si>
  <si>
    <t>ORD-2024-10662</t>
  </si>
  <si>
    <t>Max Machines 595</t>
  </si>
  <si>
    <t>ORD-2024-10663</t>
  </si>
  <si>
    <t>Elite Machines 367</t>
  </si>
  <si>
    <t>ORD-2024-10664</t>
  </si>
  <si>
    <t>Basic Copiers 787</t>
  </si>
  <si>
    <t>ORD-2024-10665</t>
  </si>
  <si>
    <t>Max Accessories 903</t>
  </si>
  <si>
    <t>ORD-2025-10666</t>
  </si>
  <si>
    <t>Max Art 660</t>
  </si>
  <si>
    <t>ORD-2024-10667</t>
  </si>
  <si>
    <t>Classic Copiers 908</t>
  </si>
  <si>
    <t>ORD-2025-10668</t>
  </si>
  <si>
    <t>Pro Machines 706</t>
  </si>
  <si>
    <t>ORD-2024-10669</t>
  </si>
  <si>
    <t>Pro Paper 187</t>
  </si>
  <si>
    <t>ORD-2024-10670</t>
  </si>
  <si>
    <t>Classic Tables 606</t>
  </si>
  <si>
    <t>ORD-2025-10671</t>
  </si>
  <si>
    <t>Smart Tables 835</t>
  </si>
  <si>
    <t>ORD-2024-10672</t>
  </si>
  <si>
    <t>COPIERS</t>
  </si>
  <si>
    <t>Classic Copiers 583</t>
  </si>
  <si>
    <t>ORD-2024-10673</t>
  </si>
  <si>
    <t>Classic Chairs 460</t>
  </si>
  <si>
    <t>ORD-2025-10674</t>
  </si>
  <si>
    <t>Classic Bookcases 488</t>
  </si>
  <si>
    <t>ORD-2024-10675</t>
  </si>
  <si>
    <t>Basic Accessories 944</t>
  </si>
  <si>
    <t>ORD-2025-10676</t>
  </si>
  <si>
    <t>Eco Furnishings 217</t>
  </si>
  <si>
    <t>ORD-2025-10677</t>
  </si>
  <si>
    <t>Smart Phones 967</t>
  </si>
  <si>
    <t>ORD-2024-10678</t>
  </si>
  <si>
    <t>Smart Chairs 610</t>
  </si>
  <si>
    <t>ORD-2024-10679</t>
  </si>
  <si>
    <t>Prime Tables 123</t>
  </si>
  <si>
    <t>ORD-2025-10680</t>
  </si>
  <si>
    <t>Smart Copiers 579</t>
  </si>
  <si>
    <t>ORD-2024-10681</t>
  </si>
  <si>
    <t>Eco Accessories 658</t>
  </si>
  <si>
    <t>ORD-2024-10682</t>
  </si>
  <si>
    <t>Smart Tables 777</t>
  </si>
  <si>
    <t>ORD-2025-10683</t>
  </si>
  <si>
    <t>Eco Storage 861</t>
  </si>
  <si>
    <t>ORD-2025-10684</t>
  </si>
  <si>
    <t>Eco Furnishings 875</t>
  </si>
  <si>
    <t>ORD-2025-10685</t>
  </si>
  <si>
    <t>Prime Bookcases 784</t>
  </si>
  <si>
    <t>ORD-2025-10686</t>
  </si>
  <si>
    <t>Classic Art 380</t>
  </si>
  <si>
    <t>ORD-2024-10687</t>
  </si>
  <si>
    <t>Pro Copiers 502</t>
  </si>
  <si>
    <t>ORD-2025-10688</t>
  </si>
  <si>
    <t>Prime Tables 604</t>
  </si>
  <si>
    <t>ORD-2025-10689</t>
  </si>
  <si>
    <t>Basic Art 798</t>
  </si>
  <si>
    <t>ORD-2024-10690</t>
  </si>
  <si>
    <t>Elite Tables 717</t>
  </si>
  <si>
    <t>ORD-2024-10691</t>
  </si>
  <si>
    <t>Max Art 725</t>
  </si>
  <si>
    <t>ORD-2024-10692</t>
  </si>
  <si>
    <t>Smart Copiers 456</t>
  </si>
  <si>
    <t>ORD-2025-10693</t>
  </si>
  <si>
    <t>Prime Furnishings 883</t>
  </si>
  <si>
    <t>ORD-2025-10694</t>
  </si>
  <si>
    <t>Smart Bookcases 828</t>
  </si>
  <si>
    <t>ORD-2025-10695</t>
  </si>
  <si>
    <t>Classic Storage 291</t>
  </si>
  <si>
    <t>ORD-2024-10696</t>
  </si>
  <si>
    <t>Prime Machines 102</t>
  </si>
  <si>
    <t>ORD-2025-10697</t>
  </si>
  <si>
    <t>Classic Phones 842</t>
  </si>
  <si>
    <t>ORD-2025-10698</t>
  </si>
  <si>
    <t>Max Labels 970</t>
  </si>
  <si>
    <t>ORD-2024-10699</t>
  </si>
  <si>
    <t>Classic Machines 648</t>
  </si>
  <si>
    <t>ORD-2024-10700</t>
  </si>
  <si>
    <t>Max Bookcases 565</t>
  </si>
  <si>
    <t>ORD-2024-10701</t>
  </si>
  <si>
    <t>Basic Machines 220</t>
  </si>
  <si>
    <t>ORD-2024-10702</t>
  </si>
  <si>
    <t>Pro Art 151</t>
  </si>
  <si>
    <t>ORD-2025-10703</t>
  </si>
  <si>
    <t>Pro Tables 980</t>
  </si>
  <si>
    <t>ORD-2024-10704</t>
  </si>
  <si>
    <t>Classic Tables 997</t>
  </si>
  <si>
    <t>ORD-2024-10705</t>
  </si>
  <si>
    <t>Max Bookcases 738</t>
  </si>
  <si>
    <t>ORD-2024-10706</t>
  </si>
  <si>
    <t>Max Binders 411</t>
  </si>
  <si>
    <t>ORD-2024-10707</t>
  </si>
  <si>
    <t>Max Paper 343</t>
  </si>
  <si>
    <t>ORD-2025-10708</t>
  </si>
  <si>
    <t>Pro Accessories 485</t>
  </si>
  <si>
    <t>ORD-2025-10709</t>
  </si>
  <si>
    <t>Elite Bookcases 113</t>
  </si>
  <si>
    <t>ORD-2025-10710</t>
  </si>
  <si>
    <t>Eco Phones 787</t>
  </si>
  <si>
    <t>ORD-2024-10711</t>
  </si>
  <si>
    <t>Smart Art 279</t>
  </si>
  <si>
    <t>ORD-2025-10712</t>
  </si>
  <si>
    <t>Basic Machines 172</t>
  </si>
  <si>
    <t>ORD-2024-10713</t>
  </si>
  <si>
    <t>Smart Chairs 259</t>
  </si>
  <si>
    <t>ORD-2025-10714</t>
  </si>
  <si>
    <t>Pro Machines 987</t>
  </si>
  <si>
    <t>ORD-2025-10715</t>
  </si>
  <si>
    <t>Pro Copiers 206</t>
  </si>
  <si>
    <t>ORD-2025-10716</t>
  </si>
  <si>
    <t>Max Chairs 372</t>
  </si>
  <si>
    <t>ORD-2025-10717</t>
  </si>
  <si>
    <t>Basic Phones 496</t>
  </si>
  <si>
    <t>ORD-2025-10718</t>
  </si>
  <si>
    <t>Prime Machines 612</t>
  </si>
  <si>
    <t>ORD-2024-10719</t>
  </si>
  <si>
    <t>Smart Art 866</t>
  </si>
  <si>
    <t>ORD-2025-10720</t>
  </si>
  <si>
    <t>Pro Art 447</t>
  </si>
  <si>
    <t>ORD-2024-10721</t>
  </si>
  <si>
    <t>Smart Copiers 196</t>
  </si>
  <si>
    <t>ORD-2025-10722</t>
  </si>
  <si>
    <t>Pro Copiers 532</t>
  </si>
  <si>
    <t>ORD-2024-10723</t>
  </si>
  <si>
    <t>Eco Chairs 442</t>
  </si>
  <si>
    <t>ORD-2025-10724</t>
  </si>
  <si>
    <t>Eco Accessories 364</t>
  </si>
  <si>
    <t>ORD-2024-10725</t>
  </si>
  <si>
    <t>Elite Furnishings 921</t>
  </si>
  <si>
    <t>ORD-2025-10726</t>
  </si>
  <si>
    <t>Max Tables 309</t>
  </si>
  <si>
    <t>ORD-2024-10727</t>
  </si>
  <si>
    <t>Pro Phones 857</t>
  </si>
  <si>
    <t>ORD-2024-10728</t>
  </si>
  <si>
    <t>Max Accessories 567</t>
  </si>
  <si>
    <t>ORD-2024-10729</t>
  </si>
  <si>
    <t>Max Machines 200</t>
  </si>
  <si>
    <t>ORD-2025-10730</t>
  </si>
  <si>
    <t>Pro Machines 563</t>
  </si>
  <si>
    <t>ORD-2025-10731</t>
  </si>
  <si>
    <t>Elite Art 696</t>
  </si>
  <si>
    <t>ORD-2024-10732</t>
  </si>
  <si>
    <t>Eco Binders 178</t>
  </si>
  <si>
    <t>ORD-2024-10733</t>
  </si>
  <si>
    <t>Max Phones 678</t>
  </si>
  <si>
    <t>ORD-2024-10734</t>
  </si>
  <si>
    <t>Classic Furnishings 582</t>
  </si>
  <si>
    <t>ORD-2024-10735</t>
  </si>
  <si>
    <t>Classic Accessories 981</t>
  </si>
  <si>
    <t>ORD-2024-10736</t>
  </si>
  <si>
    <t>Classic Tables 534</t>
  </si>
  <si>
    <t>ORD-2024-10737</t>
  </si>
  <si>
    <t>Pro Chairs 383</t>
  </si>
  <si>
    <t>ORD-2024-10738</t>
  </si>
  <si>
    <t>Max Chairs 845</t>
  </si>
  <si>
    <t>ORD-2025-10739</t>
  </si>
  <si>
    <t>Prime Paper 307</t>
  </si>
  <si>
    <t>ORD-2024-10740</t>
  </si>
  <si>
    <t>Basic Phones 859</t>
  </si>
  <si>
    <t>ORD-2024-10741</t>
  </si>
  <si>
    <t>Eco Chairs 883</t>
  </si>
  <si>
    <t>ORD-2025-10742</t>
  </si>
  <si>
    <t>Max Chairs 706</t>
  </si>
  <si>
    <t>ORD-2024-10743</t>
  </si>
  <si>
    <t>Prime Paper 768</t>
  </si>
  <si>
    <t>ORD-2025-10744</t>
  </si>
  <si>
    <t>Basic Art 764</t>
  </si>
  <si>
    <t>ORD-2025-10745</t>
  </si>
  <si>
    <t>Prime Binders 181</t>
  </si>
  <si>
    <t>ORD-2024-10746</t>
  </si>
  <si>
    <t>Max Copiers 866</t>
  </si>
  <si>
    <t>ORD-2025-10747</t>
  </si>
  <si>
    <t>Pro Paper 662</t>
  </si>
  <si>
    <t>ORD-2024-10748</t>
  </si>
  <si>
    <t>Classic Paper 388</t>
  </si>
  <si>
    <t>ORD-2024-10749</t>
  </si>
  <si>
    <t>Pro Phones 765</t>
  </si>
  <si>
    <t>ORD-2024-10750</t>
  </si>
  <si>
    <t>Classic Machines 543</t>
  </si>
  <si>
    <t>ORD-2025-10751</t>
  </si>
  <si>
    <t>Max Accessories 291</t>
  </si>
  <si>
    <t>ORD-2025-10752</t>
  </si>
  <si>
    <t>Eco Machines 414</t>
  </si>
  <si>
    <t>ORD-2024-10753</t>
  </si>
  <si>
    <t>Basic Storage 273</t>
  </si>
  <si>
    <t>ORD-2024-10754</t>
  </si>
  <si>
    <t>Elite Furnishings 588</t>
  </si>
  <si>
    <t>ORD-2025-10755</t>
  </si>
  <si>
    <t>Elite Storage 857</t>
  </si>
  <si>
    <t>ORD-2025-10756</t>
  </si>
  <si>
    <t>Prime Storage 183</t>
  </si>
  <si>
    <t>ORD-2024-10757</t>
  </si>
  <si>
    <t>Smart Accessories 362</t>
  </si>
  <si>
    <t>ORD-2025-10758</t>
  </si>
  <si>
    <t>Classic Bookcases 310</t>
  </si>
  <si>
    <t>ORD-2024-10759</t>
  </si>
  <si>
    <t>Prime Chairs 721</t>
  </si>
  <si>
    <t>ORD-2024-10760</t>
  </si>
  <si>
    <t>Prime Tables 797</t>
  </si>
  <si>
    <t>ORD-2024-10761</t>
  </si>
  <si>
    <t>Max Art 926</t>
  </si>
  <si>
    <t>ORD-2025-10762</t>
  </si>
  <si>
    <t>Max Machines 364</t>
  </si>
  <si>
    <t>ORD-2024-10763</t>
  </si>
  <si>
    <t>Classic Machines 122</t>
  </si>
  <si>
    <t>ORD-2025-10764</t>
  </si>
  <si>
    <t>Elite Furnishings 169</t>
  </si>
  <si>
    <t>ORD-2025-10765</t>
  </si>
  <si>
    <t>Pro Bookcases 615</t>
  </si>
  <si>
    <t>ORD-2025-10766</t>
  </si>
  <si>
    <t>Max Labels 136</t>
  </si>
  <si>
    <t>ORD-2024-10767</t>
  </si>
  <si>
    <t>Prime Art 380</t>
  </si>
  <si>
    <t>ORD-2024-10768</t>
  </si>
  <si>
    <t>Classic Binders 234</t>
  </si>
  <si>
    <t>ORD-2025-10769</t>
  </si>
  <si>
    <t>Classic Paper 280</t>
  </si>
  <si>
    <t>ORD-2024-10770</t>
  </si>
  <si>
    <t>Classic Bookcases 922</t>
  </si>
  <si>
    <t>ORD-2024-10771</t>
  </si>
  <si>
    <t>Eco Copiers 396</t>
  </si>
  <si>
    <t>ORD-2024-10772</t>
  </si>
  <si>
    <t>Basic Machines 401</t>
  </si>
  <si>
    <t>ORD-2025-10773</t>
  </si>
  <si>
    <t>Basic Chairs 279</t>
  </si>
  <si>
    <t>ORD-2025-10774</t>
  </si>
  <si>
    <t>Basic Phones 753</t>
  </si>
  <si>
    <t>ORD-2025-10775</t>
  </si>
  <si>
    <t>Smart Machines 789</t>
  </si>
  <si>
    <t>ORD-2024-10776</t>
  </si>
  <si>
    <t>Elite Accessories 312</t>
  </si>
  <si>
    <t>ORD-2025-10777</t>
  </si>
  <si>
    <t>Eco Copiers 528</t>
  </si>
  <si>
    <t>ORD-2024-10778</t>
  </si>
  <si>
    <t>Elite Accessories 226</t>
  </si>
  <si>
    <t>ORD-2024-10779</t>
  </si>
  <si>
    <t>Pro Copiers 298</t>
  </si>
  <si>
    <t>ORD-2024-10780</t>
  </si>
  <si>
    <t>Prime Chairs 331</t>
  </si>
  <si>
    <t>ORD-2024-10781</t>
  </si>
  <si>
    <t>Classic Chairs 798</t>
  </si>
  <si>
    <t>ORD-2024-10782</t>
  </si>
  <si>
    <t>Classic Labels 204</t>
  </si>
  <si>
    <t>ORD-2025-10783</t>
  </si>
  <si>
    <t>Basic Copiers 254</t>
  </si>
  <si>
    <t>ORD-2024-10784</t>
  </si>
  <si>
    <t>Basic Art 709</t>
  </si>
  <si>
    <t>ORD-2025-10785</t>
  </si>
  <si>
    <t>Max Copiers 551</t>
  </si>
  <si>
    <t>ORD-2024-10786</t>
  </si>
  <si>
    <t>Eco Storage 183</t>
  </si>
  <si>
    <t>ORD-2025-10787</t>
  </si>
  <si>
    <t>Pro Furnishings 233</t>
  </si>
  <si>
    <t>ORD-2024-10788</t>
  </si>
  <si>
    <t>Prime Paper 878</t>
  </si>
  <si>
    <t>ORD-2024-10789</t>
  </si>
  <si>
    <t>Smart Chairs 353</t>
  </si>
  <si>
    <t>ORD-2025-10790</t>
  </si>
  <si>
    <t>Smart Copiers 408</t>
  </si>
  <si>
    <t>ORD-2024-10791</t>
  </si>
  <si>
    <t>Classic Art 781</t>
  </si>
  <si>
    <t>ORD-2024-10792</t>
  </si>
  <si>
    <t>Eco Bookcases 144</t>
  </si>
  <si>
    <t>ORD-2025-10793</t>
  </si>
  <si>
    <t>Elite Furnishings 852</t>
  </si>
  <si>
    <t>ORD-2024-10794</t>
  </si>
  <si>
    <t>Basic Copiers 238</t>
  </si>
  <si>
    <t>ORD-2025-10795</t>
  </si>
  <si>
    <t>Elite Paper 847</t>
  </si>
  <si>
    <t>ORD-2024-10796</t>
  </si>
  <si>
    <t>Pro Copiers 653</t>
  </si>
  <si>
    <t>ORD-2024-10797</t>
  </si>
  <si>
    <t>Elite Machines 459</t>
  </si>
  <si>
    <t>ORD-2024-10798</t>
  </si>
  <si>
    <t>Elite Binders 764</t>
  </si>
  <si>
    <t>ORD-2025-10799</t>
  </si>
  <si>
    <t>Classic Furnishings 348</t>
  </si>
  <si>
    <t>ORD-2024-10800</t>
  </si>
  <si>
    <t>Smart Accessories 487</t>
  </si>
  <si>
    <t>ORD-2024-10801</t>
  </si>
  <si>
    <t>Elite Storage 825</t>
  </si>
  <si>
    <t>ORD-2025-10802</t>
  </si>
  <si>
    <t>Pro Accessories 500</t>
  </si>
  <si>
    <t>ORD-2025-10803</t>
  </si>
  <si>
    <t>Pro Furnishings 909</t>
  </si>
  <si>
    <t>failed</t>
  </si>
  <si>
    <t>ORD-2024-10804</t>
  </si>
  <si>
    <t>Basic Labels 359</t>
  </si>
  <si>
    <t>ORD-2025-10805</t>
  </si>
  <si>
    <t>Eco Furnishings 541</t>
  </si>
  <si>
    <t>ORD-2025-10806</t>
  </si>
  <si>
    <t>Classic Binders 103</t>
  </si>
  <si>
    <t>ORD-2024-10807</t>
  </si>
  <si>
    <t>Max Copiers 560</t>
  </si>
  <si>
    <t>ORD-2025-10808</t>
  </si>
  <si>
    <t>Smart Labels 436</t>
  </si>
  <si>
    <t>standard class</t>
  </si>
  <si>
    <t>ORD-2025-10809</t>
  </si>
  <si>
    <t>Pro Furnishings 386</t>
  </si>
  <si>
    <t>ORD-2025-10810</t>
  </si>
  <si>
    <t>Eco Binders 601</t>
  </si>
  <si>
    <t>ORD-2024-10811</t>
  </si>
  <si>
    <t>Pro Copiers 867</t>
  </si>
  <si>
    <t>ORD-2024-10812</t>
  </si>
  <si>
    <t>Eco Accessories 122</t>
  </si>
  <si>
    <t>ORD-2024-10813</t>
  </si>
  <si>
    <t>Basic Tables 127</t>
  </si>
  <si>
    <t>ORD-2025-10814</t>
  </si>
  <si>
    <t>ORD-2025-10815</t>
  </si>
  <si>
    <t>Smart Labels 126</t>
  </si>
  <si>
    <t>ORD-2024-10816</t>
  </si>
  <si>
    <t>Max Machines 569</t>
  </si>
  <si>
    <t>ORD-2024-10817</t>
  </si>
  <si>
    <t>Basic Furnishings 306</t>
  </si>
  <si>
    <t>ORD-2025-10818</t>
  </si>
  <si>
    <t>Classic Binders 873</t>
  </si>
  <si>
    <t>ORD-2024-10819</t>
  </si>
  <si>
    <t>Pro Labels 611</t>
  </si>
  <si>
    <t>ORD-2024-10820</t>
  </si>
  <si>
    <t>MACHINES</t>
  </si>
  <si>
    <t>Prime Machines 524</t>
  </si>
  <si>
    <t>ORD-2025-10821</t>
  </si>
  <si>
    <t>Classic Bookcases 882</t>
  </si>
  <si>
    <t>ORD-2024-10822</t>
  </si>
  <si>
    <t>Classic Accessories 471</t>
  </si>
  <si>
    <t>ORD-2024-10823</t>
  </si>
  <si>
    <t>Smart Furnishings 175</t>
  </si>
  <si>
    <t>ORD-2025-10824</t>
  </si>
  <si>
    <t>Basic Paper 899</t>
  </si>
  <si>
    <t>ORD-2025-10825</t>
  </si>
  <si>
    <t>Pro Paper 267</t>
  </si>
  <si>
    <t>ORD-2025-10826</t>
  </si>
  <si>
    <t>Basic Machines 832</t>
  </si>
  <si>
    <t>ORD-2025-10827</t>
  </si>
  <si>
    <t>Elite Accessories 790</t>
  </si>
  <si>
    <t>ORD-2024-10828</t>
  </si>
  <si>
    <t>Basic Paper 707</t>
  </si>
  <si>
    <t>ORD-2025-10829</t>
  </si>
  <si>
    <t>Elite Chairs 979</t>
  </si>
  <si>
    <t>ORD-2024-10830</t>
  </si>
  <si>
    <t>Pro Furnishings 192</t>
  </si>
  <si>
    <t>ORD-2025-10831</t>
  </si>
  <si>
    <t>Smart Machines 951</t>
  </si>
  <si>
    <t>ORD-2025-10832</t>
  </si>
  <si>
    <t>Smart Chairs 794</t>
  </si>
  <si>
    <t>ORD-2025-10833</t>
  </si>
  <si>
    <t>Max Phones 919</t>
  </si>
  <si>
    <t>ORD-2024-10834</t>
  </si>
  <si>
    <t>Basic Bookcases 499</t>
  </si>
  <si>
    <t>ORD-2024-10835</t>
  </si>
  <si>
    <t>Basic Art 143</t>
  </si>
  <si>
    <t>ORD-2025-10836</t>
  </si>
  <si>
    <t>Prime Phones 338</t>
  </si>
  <si>
    <t>ORD-2024-10837</t>
  </si>
  <si>
    <t>Smart Labels 814</t>
  </si>
  <si>
    <t>ORD-2025-10838</t>
  </si>
  <si>
    <t>Prime Paper 812</t>
  </si>
  <si>
    <t>ORD-2025-10839</t>
  </si>
  <si>
    <t>Pro Paper 355</t>
  </si>
  <si>
    <t>ORD-2024-10840</t>
  </si>
  <si>
    <t>Basic Phones 398</t>
  </si>
  <si>
    <t>ORD-2025-10841</t>
  </si>
  <si>
    <t>Classic Chairs 204</t>
  </si>
  <si>
    <t>ORD-2025-10842</t>
  </si>
  <si>
    <t>Max Art 339</t>
  </si>
  <si>
    <t>ORD-2024-10843</t>
  </si>
  <si>
    <t>Smart Machines 581</t>
  </si>
  <si>
    <t>ORD-2025-10844</t>
  </si>
  <si>
    <t>Prime Phones 482</t>
  </si>
  <si>
    <t>ORD-2025-10845</t>
  </si>
  <si>
    <t>Pro Art 588</t>
  </si>
  <si>
    <t>ORD-2024-10846</t>
  </si>
  <si>
    <t>Eco Tables 792</t>
  </si>
  <si>
    <t>ORD-2024-10847</t>
  </si>
  <si>
    <t>Prime Bookcases 177</t>
  </si>
  <si>
    <t>ORD-2025-10848</t>
  </si>
  <si>
    <t>Pro Tables 828</t>
  </si>
  <si>
    <t>ORD-2025-10849</t>
  </si>
  <si>
    <t>Elite Furnishings 480</t>
  </si>
  <si>
    <t>ORD-2024-10850</t>
  </si>
  <si>
    <t>Prime Bookcases 755</t>
  </si>
  <si>
    <t>ORD-2024-10851</t>
  </si>
  <si>
    <t>Prime Paper 317</t>
  </si>
  <si>
    <t>ORD-2024-10852</t>
  </si>
  <si>
    <t>Classic Accessories 933</t>
  </si>
  <si>
    <t>ORD-2024-10853</t>
  </si>
  <si>
    <t>Smart Tables 513</t>
  </si>
  <si>
    <t>ORD-2025-10854</t>
  </si>
  <si>
    <t>Elite Accessories 708</t>
  </si>
  <si>
    <t>ORD-2025-10855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</si>
  <si>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</si>
  <si>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</si>
  <si>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</si>
  <si>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</si>
  <si>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</si>
  <si>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</si>
  <si>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</si>
  <si>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</si>
  <si>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</si>
  <si>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Basic Accessories 602</t>
  </si>
  <si>
    <t>ORD-2024-10860</t>
  </si>
  <si>
    <t>Elite Phones 394</t>
  </si>
  <si>
    <t>ORD-2024-10861</t>
  </si>
  <si>
    <t>Classic Storage 194</t>
  </si>
  <si>
    <t>ORD-2025-10862</t>
  </si>
  <si>
    <t>Smart Furnishings 892</t>
  </si>
  <si>
    <t>ORD-2025-10863</t>
  </si>
  <si>
    <t>Pro Binders 488</t>
  </si>
  <si>
    <t>ORD-2025-10864</t>
  </si>
  <si>
    <t>Prime Furnishings 679</t>
  </si>
  <si>
    <t>ORD-2025-10865</t>
  </si>
  <si>
    <t>Smart Phones 158</t>
  </si>
  <si>
    <t>ORD-2025-10866</t>
  </si>
  <si>
    <t>Classic Labels 218</t>
  </si>
  <si>
    <t>ORD-2025-10867</t>
  </si>
  <si>
    <t>Smart Bookcases 552</t>
  </si>
  <si>
    <t>ORD-2024-10868</t>
  </si>
  <si>
    <t>Eco Accessories 389</t>
  </si>
  <si>
    <t>ORD-2025-10869</t>
  </si>
  <si>
    <t>Elite Storage 187</t>
  </si>
  <si>
    <t>ORD-2025-10870</t>
  </si>
  <si>
    <t>ORD-2025-10871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</si>
  <si>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</si>
  <si>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</si>
  <si>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</si>
  <si>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</si>
  <si>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</si>
  <si>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</si>
  <si>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Elite Storage 144</t>
  </si>
  <si>
    <t>ORD-2025-10875</t>
  </si>
  <si>
    <t>Elite Paper 309</t>
  </si>
  <si>
    <t>ORD-2024-10876</t>
  </si>
  <si>
    <t>Elite Copiers 752</t>
  </si>
  <si>
    <t>ORD-2024-10877</t>
  </si>
  <si>
    <t>ORD-2025-10878</t>
  </si>
  <si>
    <t>Max Storage 438</t>
  </si>
  <si>
    <t>ORD-2024-10879</t>
  </si>
  <si>
    <t>Basic Paper 904</t>
  </si>
  <si>
    <t>ORD-2025-10880</t>
  </si>
  <si>
    <t>Smart Art 990</t>
  </si>
  <si>
    <t>ORD-2024-10881</t>
  </si>
  <si>
    <t>Basic Chairs 327</t>
  </si>
  <si>
    <t>ORD-2024-10882</t>
  </si>
  <si>
    <t>Eco Copiers 987</t>
  </si>
  <si>
    <t>ORD-2025-10883</t>
  </si>
  <si>
    <t>Basic Accessories 607</t>
  </si>
  <si>
    <t>ORD-2025-10884</t>
  </si>
  <si>
    <t>Classic Storage 211</t>
  </si>
  <si>
    <t>ORD-2025-10885</t>
  </si>
  <si>
    <t>Eco Storage 783</t>
  </si>
  <si>
    <t>ORD-2024-10886</t>
  </si>
  <si>
    <t>Pro Tables 866</t>
  </si>
  <si>
    <t>ORD-2025-10887</t>
  </si>
  <si>
    <t>Max Accessories 541</t>
  </si>
  <si>
    <t>ORD-2024-10888</t>
  </si>
  <si>
    <t>Prime Art 596</t>
  </si>
  <si>
    <t>ORD-2025-10889</t>
  </si>
  <si>
    <t>Pro Art 620</t>
  </si>
  <si>
    <t>ORD-2025-10890</t>
  </si>
  <si>
    <t>Prime Storage 806</t>
  </si>
  <si>
    <t>ORD-2024-10891</t>
  </si>
  <si>
    <t>Smart Storage 288</t>
  </si>
  <si>
    <t>ORD-2024-10892</t>
  </si>
  <si>
    <t>Elite Machines 281</t>
  </si>
  <si>
    <t>ORD-2025-10893</t>
  </si>
  <si>
    <t>Elite Copiers 221</t>
  </si>
  <si>
    <t>ORD-2024-10894</t>
  </si>
  <si>
    <t>Max Tables 291</t>
  </si>
  <si>
    <t>ORD-2024-10895</t>
  </si>
  <si>
    <t>Classic Tables 638</t>
  </si>
  <si>
    <t>ORD-2024-10896</t>
  </si>
  <si>
    <t>Basic Chairs 212</t>
  </si>
  <si>
    <t>ORD-2024-10897</t>
  </si>
  <si>
    <t>Max Copiers 121</t>
  </si>
  <si>
    <t>ORD-2025-10898</t>
  </si>
  <si>
    <t>Eco Paper 747</t>
  </si>
  <si>
    <t>ORD-2024-10899</t>
  </si>
  <si>
    <t>Classic Tables 535</t>
  </si>
  <si>
    <t>ORD-2025-10900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</si>
  <si>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</si>
  <si>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</si>
  <si>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</si>
  <si>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</si>
  <si>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</si>
  <si>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</si>
  <si>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</si>
  <si>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</si>
  <si>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</si>
  <si>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</si>
  <si>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</si>
  <si>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</si>
  <si>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</si>
  <si>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</si>
  <si>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</si>
  <si>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</si>
  <si>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</si>
  <si>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</si>
  <si>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</si>
  <si>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</si>
  <si>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</si>
  <si>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</si>
  <si>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</si>
  <si>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</si>
  <si>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</si>
  <si>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</si>
  <si>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</si>
  <si>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</si>
  <si>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</si>
  <si>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</si>
  <si>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</si>
  <si>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</si>
  <si>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</si>
  <si>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</si>
  <si>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</si>
  <si>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</si>
  <si>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</si>
  <si>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</si>
  <si>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</si>
  <si>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</si>
  <si>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</si>
  <si>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</si>
  <si>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</si>
  <si>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</si>
  <si>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</si>
  <si>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</si>
  <si>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</si>
  <si>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</si>
  <si>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</si>
  <si>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</si>
  <si>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</si>
  <si>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</si>
  <si>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</si>
  <si>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</si>
  <si>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</si>
  <si>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</si>
  <si>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</si>
  <si>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</si>
  <si>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</si>
  <si>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</si>
  <si>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</si>
  <si>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</si>
  <si>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</si>
  <si>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</si>
  <si>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</si>
  <si>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</si>
  <si>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</si>
  <si>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</si>
  <si>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</si>
  <si>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</si>
  <si>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</si>
  <si>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</si>
  <si>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</si>
  <si>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</si>
  <si>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</si>
  <si>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</si>
  <si>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</si>
  <si>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</si>
  <si>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</si>
  <si>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</si>
  <si>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</si>
  <si>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</si>
  <si>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</si>
  <si>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</si>
  <si>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</si>
  <si>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</si>
  <si>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</si>
  <si>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</si>
  <si>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</si>
  <si>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</si>
  <si>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</si>
  <si>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</si>
  <si>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</si>
  <si>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</si>
  <si>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</si>
  <si>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</si>
  <si>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</si>
  <si>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</si>
  <si>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</si>
  <si>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</si>
  <si>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</si>
  <si>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</si>
  <si>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</si>
  <si>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</si>
  <si>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</si>
  <si>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</si>
  <si>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</si>
  <si>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</si>
  <si>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</si>
  <si>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</si>
  <si>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</si>
  <si>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</si>
  <si>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</si>
  <si>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</si>
  <si>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</si>
  <si>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</si>
  <si>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</si>
  <si>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</si>
  <si>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</si>
  <si>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</si>
  <si>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</si>
  <si>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</si>
  <si>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</si>
  <si>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</si>
  <si>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</si>
  <si>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</si>
  <si>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</si>
  <si>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</si>
  <si>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</si>
  <si>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</si>
  <si>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</si>
  <si>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</si>
  <si>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</si>
  <si>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</si>
  <si>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</si>
  <si>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</si>
  <si>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</si>
  <si>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</si>
  <si>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</si>
  <si>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</si>
  <si>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</si>
  <si>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</si>
  <si>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</si>
  <si>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</si>
  <si>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</si>
  <si>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</si>
  <si>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</si>
  <si>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</si>
  <si>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</si>
  <si>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</si>
  <si>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</si>
  <si>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</si>
  <si>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</si>
  <si>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</si>
  <si>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</si>
  <si>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</si>
  <si>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</si>
  <si>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</si>
  <si>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</si>
  <si>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</si>
  <si>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</si>
  <si>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</si>
  <si>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</si>
  <si>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</si>
  <si>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</si>
  <si>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</si>
  <si>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</si>
  <si>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</si>
  <si>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</si>
  <si>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</si>
  <si>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</si>
  <si>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</si>
  <si>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</si>
  <si>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</si>
  <si>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</si>
  <si>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</si>
  <si>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</si>
  <si>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</si>
  <si>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</si>
  <si>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</si>
  <si>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</si>
  <si>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</si>
  <si>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</si>
  <si>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</si>
  <si>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</si>
  <si>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</si>
  <si>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</si>
  <si>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</si>
  <si>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</si>
  <si>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</si>
  <si>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</si>
  <si>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</si>
  <si>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</si>
  <si>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</si>
  <si>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</si>
  <si>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</si>
  <si>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</si>
  <si>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</si>
  <si>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</si>
  <si>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</si>
  <si>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</si>
  <si>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</si>
  <si>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</si>
  <si>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</si>
  <si>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</si>
  <si>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</si>
  <si>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</si>
  <si>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</si>
  <si>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</si>
  <si>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</si>
  <si>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</si>
  <si>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</si>
  <si>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</si>
  <si>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</si>
  <si>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</si>
  <si>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</si>
  <si>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</si>
  <si>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</si>
  <si>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</si>
  <si>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</si>
  <si>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</si>
  <si>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</si>
  <si>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</si>
  <si>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</si>
  <si>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</si>
  <si>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</si>
  <si>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</si>
  <si>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</si>
  <si>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</si>
  <si>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</si>
  <si>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</si>
  <si>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</si>
  <si>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</si>
  <si>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</si>
  <si>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</si>
  <si>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</si>
  <si>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</si>
  <si>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</si>
  <si>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</si>
  <si>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</si>
  <si>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</si>
  <si>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</si>
  <si>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</si>
  <si>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</si>
  <si>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</si>
  <si>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</si>
  <si>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</si>
  <si>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</si>
  <si>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</si>
  <si>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</si>
  <si>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</si>
  <si>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</si>
  <si>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</si>
  <si>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</si>
  <si>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</si>
  <si>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</si>
  <si>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</si>
  <si>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</si>
  <si>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</si>
  <si>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</si>
  <si>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</si>
  <si>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</si>
  <si>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</si>
  <si>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</si>
  <si>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</si>
  <si>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</si>
  <si>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</si>
  <si>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</si>
  <si>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</si>
  <si>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</si>
  <si>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</si>
  <si>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</si>
  <si>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</si>
  <si>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</si>
  <si>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</si>
  <si>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</si>
  <si>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</si>
  <si>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</si>
  <si>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</si>
  <si>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</si>
  <si>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</si>
  <si>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</si>
  <si>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</si>
  <si>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</si>
  <si>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</si>
  <si>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</si>
  <si>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</si>
  <si>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</si>
  <si>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</si>
  <si>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</si>
  <si>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</si>
  <si>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</si>
  <si>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</si>
  <si>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</si>
  <si>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</si>
  <si>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</si>
  <si>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</si>
  <si>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</si>
  <si>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</si>
  <si>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</si>
  <si>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</si>
  <si>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</si>
  <si>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</si>
  <si>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</si>
  <si>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</si>
  <si>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</si>
  <si>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</si>
  <si>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</si>
  <si>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</si>
  <si>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</si>
  <si>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</si>
  <si>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</si>
  <si>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</si>
  <si>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</si>
  <si>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</si>
  <si>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</si>
  <si>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</si>
  <si>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</si>
  <si>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</si>
  <si>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</si>
  <si>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</si>
  <si>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</si>
  <si>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</si>
  <si>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</si>
  <si>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</si>
  <si>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</si>
  <si>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</si>
  <si>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</si>
  <si>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</si>
  <si>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</si>
  <si>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</si>
  <si>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</si>
  <si>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</si>
  <si>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</si>
  <si>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</si>
  <si>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</si>
  <si>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</si>
  <si>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</si>
  <si>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</si>
  <si>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</si>
  <si>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</si>
  <si>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</si>
  <si>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</si>
  <si>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</si>
  <si>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</si>
  <si>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</si>
  <si>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</si>
  <si>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</si>
  <si>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</si>
  <si>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</si>
  <si>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</si>
  <si>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</si>
  <si>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</si>
  <si>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</si>
  <si>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</si>
  <si>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</si>
  <si>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</si>
  <si>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</si>
  <si>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</si>
  <si>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</si>
  <si>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</si>
  <si>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</si>
  <si>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</si>
  <si>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</si>
  <si>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</si>
  <si>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</si>
  <si>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</si>
  <si>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</si>
  <si>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</si>
  <si>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</si>
  <si>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</si>
  <si>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</si>
  <si>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</si>
  <si>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</si>
  <si>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</si>
  <si>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</si>
  <si>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</si>
  <si>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</si>
  <si>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</si>
  <si>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</si>
  <si>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</si>
  <si>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</si>
  <si>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</si>
  <si>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</si>
  <si>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</si>
  <si>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</si>
  <si>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</si>
  <si>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</si>
  <si>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</si>
  <si>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</si>
  <si>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</si>
  <si>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</si>
  <si>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</si>
  <si>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</si>
  <si>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</si>
  <si>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</si>
  <si>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</si>
  <si>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</si>
  <si>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</si>
  <si>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</si>
  <si>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</si>
  <si>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</si>
  <si>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</si>
  <si>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</si>
  <si>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</si>
  <si>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</si>
  <si>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</si>
  <si>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</si>
  <si>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</si>
  <si>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</si>
  <si>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</si>
  <si>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</si>
  <si>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</si>
  <si>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</si>
  <si>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</si>
  <si>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</si>
  <si>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</si>
  <si>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</si>
  <si>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</si>
  <si>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</si>
  <si>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</si>
  <si>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</si>
  <si>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</si>
  <si>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</si>
  <si>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</si>
  <si>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</si>
  <si>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</si>
  <si>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</si>
  <si>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</si>
  <si>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</si>
  <si>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</si>
  <si>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</si>
  <si>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</si>
  <si>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</si>
  <si>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</si>
  <si>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</si>
  <si>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</si>
  <si>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</si>
  <si>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</si>
  <si>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</si>
  <si>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</si>
  <si>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</si>
  <si>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</si>
  <si>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</si>
  <si>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</si>
  <si>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</si>
  <si>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</si>
  <si>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</si>
  <si>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</si>
  <si>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</si>
  <si>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</si>
  <si>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</si>
  <si>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</si>
  <si>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</si>
  <si>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</si>
  <si>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</si>
  <si>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</si>
  <si>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</si>
  <si>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</si>
  <si>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</si>
  <si>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</si>
  <si>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</si>
  <si>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</si>
  <si>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</si>
  <si>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</si>
  <si>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</si>
  <si>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</si>
  <si>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</si>
  <si>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</si>
  <si>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</si>
  <si>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</si>
  <si>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</si>
  <si>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</si>
  <si>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</si>
  <si>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</si>
  <si>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</si>
  <si>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</si>
  <si>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</si>
  <si>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</si>
  <si>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</si>
  <si>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</si>
  <si>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</si>
  <si>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</si>
  <si>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</si>
  <si>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</si>
  <si>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</si>
  <si>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</si>
  <si>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</si>
  <si>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</si>
  <si>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</si>
  <si>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</si>
  <si>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</si>
  <si>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</si>
  <si>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</si>
  <si>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</si>
  <si>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</si>
  <si>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</si>
  <si>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</si>
  <si>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</si>
  <si>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</si>
  <si>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</si>
  <si>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</si>
  <si>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</si>
  <si>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</si>
  <si>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</si>
  <si>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</si>
  <si>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</si>
  <si>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</si>
  <si>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</si>
  <si>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</si>
  <si>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</si>
  <si>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</si>
  <si>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</si>
  <si>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</si>
  <si>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</si>
  <si>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</si>
  <si>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</si>
  <si>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</si>
  <si>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</si>
  <si>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</si>
  <si>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</si>
  <si>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</si>
  <si>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</si>
  <si>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</si>
  <si>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</si>
  <si>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</si>
  <si>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</si>
  <si>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</si>
  <si>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</si>
  <si>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</si>
  <si>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</si>
  <si>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</si>
  <si>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</si>
  <si>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</si>
  <si>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</si>
  <si>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</si>
  <si>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</si>
  <si>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</si>
  <si>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</si>
  <si>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</si>
  <si>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</si>
  <si>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</si>
  <si>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</si>
  <si>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</si>
  <si>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</si>
  <si>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</si>
  <si>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</si>
  <si>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</si>
  <si>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</si>
  <si>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</si>
  <si>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</si>
  <si>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</si>
  <si>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</si>
  <si>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</si>
  <si>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</si>
  <si>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</si>
  <si>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</si>
  <si>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</si>
  <si>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</si>
  <si>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</si>
  <si>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</si>
  <si>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</si>
  <si>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</si>
  <si>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</si>
  <si>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</si>
  <si>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</si>
  <si>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</si>
  <si>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</si>
  <si>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</si>
  <si>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</si>
  <si>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</si>
  <si>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</si>
  <si>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</si>
  <si>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</si>
  <si>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</si>
  <si>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</si>
  <si>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</si>
  <si>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</si>
  <si>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</si>
  <si>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</si>
  <si>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</si>
  <si>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</si>
  <si>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</si>
  <si>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</si>
  <si>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</si>
  <si>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</si>
  <si>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</si>
  <si>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</si>
  <si>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</si>
  <si>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</si>
  <si>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</si>
  <si>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</si>
  <si>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</si>
  <si>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</si>
  <si>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</si>
  <si>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</si>
  <si>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</si>
  <si>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</si>
  <si>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</si>
  <si>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</si>
  <si>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</si>
  <si>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</si>
  <si>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</si>
  <si>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</si>
  <si>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</si>
  <si>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</si>
  <si>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</si>
  <si>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</si>
  <si>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</si>
  <si>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</si>
  <si>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</si>
  <si>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</si>
  <si>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</si>
  <si>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</si>
  <si>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</si>
  <si>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</si>
  <si>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</si>
  <si>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</si>
  <si>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</si>
  <si>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</si>
  <si>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</si>
  <si>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</si>
  <si>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</si>
  <si>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</si>
  <si>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</si>
  <si>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</si>
  <si>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</si>
  <si>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</si>
  <si>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</si>
  <si>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</si>
  <si>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</si>
  <si>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</si>
  <si>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</si>
  <si>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</si>
  <si>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</si>
  <si>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</si>
  <si>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</si>
  <si>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</si>
  <si>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</si>
  <si>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</si>
  <si>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</si>
  <si>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</si>
  <si>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</si>
  <si>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</si>
  <si>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</si>
  <si>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</si>
  <si>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</si>
  <si>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</si>
  <si>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</si>
  <si>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</si>
  <si>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</si>
  <si>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</si>
  <si>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</si>
  <si>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</si>
  <si>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</si>
  <si>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</si>
  <si>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</si>
  <si>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</si>
  <si>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</si>
  <si>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</si>
  <si>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</si>
  <si>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</si>
  <si>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</si>
  <si>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</si>
  <si>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</si>
  <si>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</si>
  <si>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</si>
  <si>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</si>
  <si>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</si>
  <si>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</si>
  <si>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</si>
  <si>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</si>
  <si>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</si>
  <si>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</si>
  <si>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</si>
  <si>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</si>
  <si>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</si>
  <si>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</si>
  <si>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</si>
  <si>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</si>
  <si>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</si>
  <si>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</si>
  <si>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</si>
  <si>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</si>
  <si>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</si>
  <si>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</si>
  <si>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</si>
  <si>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</si>
  <si>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</si>
  <si>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</si>
  <si>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</si>
  <si>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</si>
  <si>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</si>
  <si>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</si>
  <si>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</si>
  <si>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</si>
  <si>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</si>
  <si>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</si>
  <si>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</si>
  <si>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</si>
  <si>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</si>
  <si>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</si>
  <si>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</si>
  <si>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</si>
  <si>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</si>
  <si>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</si>
  <si>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</si>
  <si>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</si>
  <si>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</si>
  <si>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</si>
  <si>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</si>
  <si>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</si>
  <si>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</si>
  <si>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</si>
  <si>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</si>
  <si>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</si>
  <si>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</si>
  <si>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</si>
  <si>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</si>
  <si>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</si>
  <si>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</si>
  <si>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</si>
  <si>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</si>
  <si>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</si>
  <si>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</si>
  <si>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</si>
  <si>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</si>
  <si>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</si>
  <si>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</si>
  <si>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</si>
  <si>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</si>
  <si>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</si>
  <si>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</si>
  <si>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</si>
  <si>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</si>
  <si>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</si>
  <si>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</si>
  <si>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</si>
  <si>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</si>
  <si>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</si>
  <si>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</si>
  <si>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</si>
  <si>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</si>
  <si>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</si>
  <si>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</si>
  <si>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</si>
  <si>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</si>
  <si>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</si>
  <si>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</si>
  <si>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</si>
  <si>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</si>
  <si>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</si>
  <si>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</si>
  <si>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</si>
  <si>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</si>
  <si>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</si>
  <si>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</si>
  <si>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</si>
  <si>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</si>
  <si>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</si>
  <si>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</si>
  <si>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</si>
  <si>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</si>
  <si>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</si>
  <si>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</si>
  <si>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</si>
  <si>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</si>
  <si>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</si>
  <si>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</si>
  <si>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</si>
  <si>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</si>
  <si>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</si>
  <si>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</si>
  <si>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</si>
  <si>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</si>
  <si>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</si>
  <si>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</si>
  <si>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</si>
  <si>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</si>
  <si>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</si>
  <si>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</si>
  <si>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</si>
  <si>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</si>
  <si>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</si>
  <si>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</si>
  <si>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</si>
  <si>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</si>
  <si>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</si>
  <si>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</si>
  <si>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</si>
  <si>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</si>
  <si>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</si>
  <si>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</si>
  <si>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</si>
  <si>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</si>
  <si>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</si>
  <si>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</si>
  <si>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</si>
  <si>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</si>
  <si>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</si>
  <si>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</si>
  <si>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</si>
  <si>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</si>
  <si>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</si>
  <si>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</si>
  <si>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</si>
  <si>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</si>
  <si>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</si>
  <si>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</si>
  <si>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</si>
  <si>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</si>
  <si>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</si>
  <si>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</si>
  <si>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</si>
  <si>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</si>
  <si>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</si>
  <si>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</si>
  <si>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</si>
  <si>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</si>
  <si>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</si>
  <si>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</si>
  <si>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</si>
  <si>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</si>
  <si>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</si>
  <si>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</si>
  <si>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</si>
  <si>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</si>
  <si>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</si>
  <si>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</si>
  <si>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</si>
  <si>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</si>
  <si>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</si>
  <si>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</si>
  <si>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</si>
  <si>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</si>
  <si>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</si>
  <si>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</si>
  <si>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</si>
  <si>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</si>
  <si>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</si>
  <si>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</si>
  <si>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</si>
  <si>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</si>
  <si>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</si>
  <si>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</si>
  <si>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</si>
  <si>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</si>
  <si>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</si>
  <si>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</si>
  <si>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</si>
  <si>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</si>
  <si>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</si>
  <si>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</si>
  <si>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</si>
  <si>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</si>
  <si>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</si>
  <si>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</si>
  <si>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</si>
  <si>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</si>
  <si>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</si>
  <si>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</si>
  <si>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</si>
  <si>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</si>
  <si>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</si>
  <si>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</si>
  <si>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</si>
  <si>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</si>
  <si>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</si>
  <si>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</si>
  <si>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</si>
  <si>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</si>
  <si>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</si>
  <si>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</si>
  <si>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</si>
  <si>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</si>
  <si>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</si>
  <si>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</si>
  <si>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/>
  </si>
  <si>
    <t>calculated_sales</t>
  </si>
  <si>
    <t>calculated_profit</t>
  </si>
  <si>
    <t>profit_margin (%)</t>
  </si>
  <si>
    <t>shipping_delay_days</t>
  </si>
  <si>
    <t>data_quality_flag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</si>
</sst>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1" fillId="2" borderId="0" xfId="1" applyNumberFormat="1" applyFont="1" applyFill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3"/>
  <sheetViews>
    <sheetView tabSelected="1" topLeftCell="T1" workbookViewId="0">
      <selection activeCell="Z2" sqref="Z2:Z933"/>
    </sheetView>
  </sheetViews>
  <sheetFormatPr defaultRowHeight="14.25"/>
  <cols>
    <col min="1" max="1" width="16" customWidth="1"/>
    <col min="2" max="2" width="19.375" style="4" customWidth="1"/>
    <col min="3" max="3" width="18.375" style="6" customWidth="1"/>
    <col min="4" max="21" width="16" customWidth="1"/>
    <col min="22" max="22" width="16.5" customWidth="1"/>
    <col min="23" max="23" width="15.75" customWidth="1"/>
    <col min="24" max="24" width="13.25" customWidth="1"/>
    <col min="25" max="25" width="21.375" customWidth="1"/>
    <col min="26" max="26" width="18.125" customWidth="1"/>
  </cols>
  <sheetData>
    <row r="1" spans="1:26" ht="27.95" customHeight="1">
      <c r="A1" s="1" t="s">
        <v>0</v>
      </c>
      <c r="B1" s="3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2807</v>
      </c>
      <c r="W1" s="1" t="s">
        <v>2808</v>
      </c>
      <c r="X1" s="1" t="s">
        <v>2809</v>
      </c>
      <c r="Y1" s="1" t="s">
        <v>2810</v>
      </c>
      <c r="Z1" s="1" t="s">
        <v>2811</v>
      </c>
    </row>
    <row r="2" spans="1:26">
      <c r="A2" t="s">
        <v>21</v>
      </c>
      <c r="B2" s="4">
        <v>45494</v>
      </c>
      <c r="C2" s="6">
        <v>45500</v>
      </c>
      <c r="D2" t="s">
        <v>1952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31</v>
      </c>
      <c r="U2" t="s">
        <v>32</v>
      </c>
      <c r="V2">
        <f>N2*O2*(1- P2)</f>
        <v>19049.28</v>
      </c>
      <c r="W2">
        <f>V2-R2</f>
        <v>3207.3899999999994</v>
      </c>
      <c r="X2">
        <f>W2/V2*100</f>
        <v>16.837329284886358</v>
      </c>
      <c r="Y2">
        <f>C2-B2</f>
        <v>6</v>
      </c>
      <c r="Z2" t="str" cm="1">
        <f t="array" ref="Z2">_xlfn.IFS(Y2&lt;0, "Invalid Date", ISBLANK(G2), "Missing Region", TRUE, "Clean")</f>
        <v>Clean</v>
      </c>
    </row>
    <row r="3" spans="1:26">
      <c r="A3" t="s">
        <v>33</v>
      </c>
      <c r="B3" s="4">
        <v>45535</v>
      </c>
      <c r="C3" s="6">
        <v>45421</v>
      </c>
      <c r="D3" t="s">
        <v>1953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31</v>
      </c>
      <c r="U3" t="s">
        <v>32</v>
      </c>
      <c r="V3">
        <f t="shared" ref="V3:V66" si="0">N3*O3*(1- P3)</f>
        <v>7312.5</v>
      </c>
      <c r="W3">
        <f t="shared" ref="W3:W66" si="1">V3-R3</f>
        <v>2407.7700000000004</v>
      </c>
      <c r="X3">
        <f t="shared" ref="X3:X66" si="2">W3/V3*100</f>
        <v>32.926769230769239</v>
      </c>
      <c r="Y3">
        <f t="shared" ref="Y3:Y5" si="3">C3-B3</f>
        <v>-114</v>
      </c>
      <c r="Z3" t="str" cm="1">
        <f t="array" ref="Z3">_xlfn.IFS(Y3&lt;0, "Invalid Date", ISBLANK(G3), "Missing Region", TRUE, "Clean")</f>
        <v>Invalid Date</v>
      </c>
    </row>
    <row r="4" spans="1:26">
      <c r="A4" t="s">
        <v>43</v>
      </c>
      <c r="B4" s="4">
        <v>45451</v>
      </c>
      <c r="C4" s="6">
        <v>45458</v>
      </c>
      <c r="D4" t="s">
        <v>1954</v>
      </c>
      <c r="E4" t="s">
        <v>44</v>
      </c>
      <c r="F4" t="s">
        <v>23</v>
      </c>
      <c r="G4" t="s">
        <v>36</v>
      </c>
      <c r="H4" t="s">
        <v>37</v>
      </c>
      <c r="I4" t="s">
        <v>38</v>
      </c>
      <c r="J4" t="s">
        <v>27</v>
      </c>
      <c r="K4" t="s">
        <v>45</v>
      </c>
      <c r="L4" t="s">
        <v>46</v>
      </c>
      <c r="M4" t="s">
        <v>47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31</v>
      </c>
      <c r="U4" t="s">
        <v>32</v>
      </c>
      <c r="V4">
        <f t="shared" si="0"/>
        <v>1917.7739999999999</v>
      </c>
      <c r="W4">
        <f t="shared" si="1"/>
        <v>-547.91600000000017</v>
      </c>
      <c r="X4">
        <f t="shared" si="2"/>
        <v>-28.570415492127864</v>
      </c>
      <c r="Y4">
        <f t="shared" si="3"/>
        <v>7</v>
      </c>
      <c r="Z4" t="str" cm="1">
        <f t="array" ref="Z4">_xlfn.IFS(Y4&lt;0, "Invalid Date", ISBLANK(G4), "Missing Region", TRUE, "Clean")</f>
        <v>Clean</v>
      </c>
    </row>
    <row r="5" spans="1:26">
      <c r="A5" t="s">
        <v>48</v>
      </c>
      <c r="B5" s="4">
        <v>45624</v>
      </c>
      <c r="C5" s="6">
        <v>45625</v>
      </c>
      <c r="D5" t="s">
        <v>1955</v>
      </c>
      <c r="E5" t="s">
        <v>49</v>
      </c>
      <c r="F5" t="s">
        <v>35</v>
      </c>
      <c r="G5" t="s">
        <v>50</v>
      </c>
      <c r="H5" t="s">
        <v>51</v>
      </c>
      <c r="I5" t="s">
        <v>52</v>
      </c>
      <c r="J5" t="s">
        <v>39</v>
      </c>
      <c r="K5" t="s">
        <v>53</v>
      </c>
      <c r="L5" t="s">
        <v>54</v>
      </c>
      <c r="M5" t="s">
        <v>55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31</v>
      </c>
      <c r="U5" t="s">
        <v>32</v>
      </c>
      <c r="V5">
        <f t="shared" si="0"/>
        <v>8317.9349999999995</v>
      </c>
      <c r="W5">
        <f t="shared" si="1"/>
        <v>1521.1649999999991</v>
      </c>
      <c r="X5">
        <f t="shared" si="2"/>
        <v>18.287772145370205</v>
      </c>
      <c r="Y5">
        <f t="shared" si="3"/>
        <v>1</v>
      </c>
      <c r="Z5" t="str" cm="1">
        <f t="array" ref="Z5">_xlfn.IFS(Y5&lt;0, "Invalid Date", ISBLANK(G5), "Missing Region", TRUE, "Clean")</f>
        <v>Clean</v>
      </c>
    </row>
    <row r="6" spans="1:26">
      <c r="A6" t="s">
        <v>56</v>
      </c>
      <c r="B6" s="4">
        <v>45898</v>
      </c>
      <c r="C6" s="6">
        <v>45666</v>
      </c>
      <c r="D6" t="s">
        <v>1956</v>
      </c>
      <c r="E6" t="s">
        <v>57</v>
      </c>
      <c r="F6" t="s">
        <v>35</v>
      </c>
      <c r="G6" t="s">
        <v>58</v>
      </c>
      <c r="H6" t="s">
        <v>59</v>
      </c>
      <c r="I6" t="s">
        <v>60</v>
      </c>
      <c r="J6" t="s">
        <v>39</v>
      </c>
      <c r="K6" t="s">
        <v>61</v>
      </c>
      <c r="L6" t="s">
        <v>62</v>
      </c>
      <c r="M6" t="s">
        <v>47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31</v>
      </c>
      <c r="U6" t="s">
        <v>63</v>
      </c>
      <c r="V6">
        <f t="shared" si="0"/>
        <v>20816.32</v>
      </c>
      <c r="W6">
        <f t="shared" si="1"/>
        <v>3110.9500000000007</v>
      </c>
      <c r="X6">
        <f t="shared" si="2"/>
        <v>14.944764492475137</v>
      </c>
      <c r="Y6">
        <v>3</v>
      </c>
      <c r="Z6" t="str" cm="1">
        <f t="array" ref="Z6">_xlfn.IFS(Y6&lt;0, "Invalid Date", ISBLANK(G6), "Missing Region", TRUE, "Clean")</f>
        <v>Clean</v>
      </c>
    </row>
    <row r="7" spans="1:26">
      <c r="A7" t="s">
        <v>64</v>
      </c>
      <c r="B7" s="4">
        <v>45436</v>
      </c>
      <c r="C7" s="6">
        <v>45440</v>
      </c>
      <c r="D7" t="s">
        <v>1957</v>
      </c>
      <c r="E7" t="s">
        <v>65</v>
      </c>
      <c r="F7" t="s">
        <v>35</v>
      </c>
      <c r="G7" t="s">
        <v>58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  <c r="M7" t="s">
        <v>42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31</v>
      </c>
      <c r="U7" t="s">
        <v>32</v>
      </c>
      <c r="V7">
        <f t="shared" si="0"/>
        <v>2527.4639999999999</v>
      </c>
      <c r="W7">
        <f t="shared" si="1"/>
        <v>993.88400000000001</v>
      </c>
      <c r="X7">
        <f t="shared" si="2"/>
        <v>39.323369195367377</v>
      </c>
      <c r="Y7">
        <f t="shared" ref="Y7:Y70" si="4">C7-B7</f>
        <v>4</v>
      </c>
      <c r="Z7" t="str" cm="1">
        <f t="array" ref="Z7">_xlfn.IFS(Y7&lt;0, "Invalid Date", ISBLANK(G7), "Missing Region", TRUE, "Clean")</f>
        <v>Clean</v>
      </c>
    </row>
    <row r="8" spans="1:26">
      <c r="A8" t="s">
        <v>71</v>
      </c>
      <c r="B8" s="4">
        <v>45757</v>
      </c>
      <c r="C8" s="6">
        <v>45763</v>
      </c>
      <c r="D8" t="s">
        <v>1958</v>
      </c>
      <c r="E8" t="s">
        <v>72</v>
      </c>
      <c r="F8" t="s">
        <v>23</v>
      </c>
      <c r="G8" t="s">
        <v>36</v>
      </c>
      <c r="H8" t="s">
        <v>37</v>
      </c>
      <c r="I8" t="s">
        <v>38</v>
      </c>
      <c r="J8" t="s">
        <v>68</v>
      </c>
      <c r="K8" t="s">
        <v>73</v>
      </c>
      <c r="L8" t="s">
        <v>74</v>
      </c>
      <c r="M8" t="s">
        <v>55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31</v>
      </c>
      <c r="U8" t="s">
        <v>32</v>
      </c>
      <c r="V8">
        <f t="shared" si="0"/>
        <v>5847.5579999999991</v>
      </c>
      <c r="W8">
        <f t="shared" si="1"/>
        <v>1120.3079999999991</v>
      </c>
      <c r="X8">
        <f t="shared" si="2"/>
        <v>19.158561573908276</v>
      </c>
      <c r="Y8">
        <f t="shared" si="4"/>
        <v>6</v>
      </c>
      <c r="Z8" t="str" cm="1">
        <f t="array" ref="Z8">_xlfn.IFS(Y8&lt;0, "Invalid Date", ISBLANK(G8), "Missing Region", TRUE, "Clean")</f>
        <v>Clean</v>
      </c>
    </row>
    <row r="9" spans="1:26">
      <c r="A9" t="s">
        <v>75</v>
      </c>
      <c r="B9" s="4">
        <v>45711</v>
      </c>
      <c r="C9" s="6">
        <v>45714</v>
      </c>
      <c r="D9" t="s">
        <v>1959</v>
      </c>
      <c r="E9" t="s">
        <v>44</v>
      </c>
      <c r="F9" t="s">
        <v>35</v>
      </c>
      <c r="G9" t="s">
        <v>50</v>
      </c>
      <c r="H9" t="s">
        <v>76</v>
      </c>
      <c r="I9" t="s">
        <v>77</v>
      </c>
      <c r="J9" t="s">
        <v>27</v>
      </c>
      <c r="K9" t="s">
        <v>45</v>
      </c>
      <c r="L9" t="s">
        <v>78</v>
      </c>
      <c r="M9" t="s">
        <v>47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31</v>
      </c>
      <c r="U9" t="s">
        <v>32</v>
      </c>
      <c r="V9">
        <f t="shared" si="0"/>
        <v>2980.71</v>
      </c>
      <c r="W9">
        <f t="shared" si="1"/>
        <v>623.49000000000024</v>
      </c>
      <c r="X9">
        <f t="shared" si="2"/>
        <v>20.917499521925993</v>
      </c>
      <c r="Y9">
        <f t="shared" si="4"/>
        <v>3</v>
      </c>
      <c r="Z9" t="str" cm="1">
        <f t="array" ref="Z9">_xlfn.IFS(Y9&lt;0, "Invalid Date", ISBLANK(G9), "Missing Region", TRUE, "Clean")</f>
        <v>Clean</v>
      </c>
    </row>
    <row r="10" spans="1:26">
      <c r="A10" t="s">
        <v>79</v>
      </c>
      <c r="B10" s="4">
        <v>45601</v>
      </c>
      <c r="C10" s="6">
        <v>45606</v>
      </c>
      <c r="D10" t="s">
        <v>1960</v>
      </c>
      <c r="E10" t="s">
        <v>80</v>
      </c>
      <c r="F10" t="s">
        <v>81</v>
      </c>
      <c r="G10" t="s">
        <v>50</v>
      </c>
      <c r="H10" t="s">
        <v>51</v>
      </c>
      <c r="I10" t="s">
        <v>52</v>
      </c>
      <c r="J10" t="s">
        <v>27</v>
      </c>
      <c r="K10" t="s">
        <v>82</v>
      </c>
      <c r="L10" t="s">
        <v>83</v>
      </c>
      <c r="M10" t="s">
        <v>47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31</v>
      </c>
      <c r="U10" t="s">
        <v>32</v>
      </c>
      <c r="V10">
        <f t="shared" si="0"/>
        <v>25073.599999999999</v>
      </c>
      <c r="W10">
        <f t="shared" si="1"/>
        <v>7726.369999999999</v>
      </c>
      <c r="X10">
        <f t="shared" si="2"/>
        <v>30.814761342607362</v>
      </c>
      <c r="Y10">
        <f t="shared" si="4"/>
        <v>5</v>
      </c>
      <c r="Z10" t="str" cm="1">
        <f t="array" ref="Z10">_xlfn.IFS(Y10&lt;0, "Invalid Date", ISBLANK(G10), "Missing Region", TRUE, "Clean")</f>
        <v>Clean</v>
      </c>
    </row>
    <row r="11" spans="1:26">
      <c r="A11" t="s">
        <v>84</v>
      </c>
      <c r="B11" s="4">
        <v>45847</v>
      </c>
      <c r="C11" s="6">
        <v>45912</v>
      </c>
      <c r="D11" t="s">
        <v>1961</v>
      </c>
      <c r="E11" t="s">
        <v>34</v>
      </c>
      <c r="F11" t="s">
        <v>85</v>
      </c>
      <c r="G11" t="s">
        <v>50</v>
      </c>
      <c r="H11" t="s">
        <v>51</v>
      </c>
      <c r="I11" t="s">
        <v>52</v>
      </c>
      <c r="J11" t="s">
        <v>27</v>
      </c>
      <c r="K11" t="s">
        <v>28</v>
      </c>
      <c r="L11" t="s">
        <v>86</v>
      </c>
      <c r="M11" t="s">
        <v>30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31</v>
      </c>
      <c r="U11" t="s">
        <v>32</v>
      </c>
      <c r="V11">
        <f t="shared" si="0"/>
        <v>6134.6880000000001</v>
      </c>
      <c r="W11">
        <f t="shared" si="1"/>
        <v>2334.498</v>
      </c>
      <c r="X11">
        <f t="shared" si="2"/>
        <v>38.054062407085738</v>
      </c>
      <c r="Y11">
        <f t="shared" si="4"/>
        <v>65</v>
      </c>
      <c r="Z11" t="str" cm="1">
        <f t="array" ref="Z11">_xlfn.IFS(Y11&lt;0, "Invalid Date", ISBLANK(G11), "Missing Region", TRUE, "Clean")</f>
        <v>Clean</v>
      </c>
    </row>
    <row r="12" spans="1:26">
      <c r="A12" t="s">
        <v>87</v>
      </c>
      <c r="B12" s="4">
        <v>45797</v>
      </c>
      <c r="C12" s="6">
        <v>45797</v>
      </c>
      <c r="D12" t="s">
        <v>1962</v>
      </c>
      <c r="E12" t="s">
        <v>57</v>
      </c>
      <c r="F12" t="s">
        <v>81</v>
      </c>
      <c r="G12" t="s">
        <v>36</v>
      </c>
      <c r="H12" t="s">
        <v>88</v>
      </c>
      <c r="I12" t="s">
        <v>89</v>
      </c>
      <c r="J12" t="s">
        <v>27</v>
      </c>
      <c r="K12" t="s">
        <v>82</v>
      </c>
      <c r="L12" t="s">
        <v>90</v>
      </c>
      <c r="M12" t="s">
        <v>30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91</v>
      </c>
      <c r="U12" t="s">
        <v>92</v>
      </c>
      <c r="V12">
        <f t="shared" si="0"/>
        <v>10074.2655</v>
      </c>
      <c r="W12">
        <f t="shared" si="1"/>
        <v>4025.9954999999991</v>
      </c>
      <c r="X12">
        <f t="shared" si="2"/>
        <v>39.963166545491575</v>
      </c>
      <c r="Y12">
        <f t="shared" si="4"/>
        <v>0</v>
      </c>
      <c r="Z12" t="str" cm="1">
        <f t="array" ref="Z12">_xlfn.IFS(Y12&lt;0, "Invalid Date", ISBLANK(G12), "Missing Region", TRUE, "Clean")</f>
        <v>Clean</v>
      </c>
    </row>
    <row r="13" spans="1:26">
      <c r="A13" t="s">
        <v>93</v>
      </c>
      <c r="B13" s="4">
        <v>45495</v>
      </c>
      <c r="C13" s="6">
        <v>45496</v>
      </c>
      <c r="D13" t="s">
        <v>1963</v>
      </c>
      <c r="E13" t="s">
        <v>65</v>
      </c>
      <c r="F13" t="s">
        <v>35</v>
      </c>
      <c r="G13" t="s">
        <v>36</v>
      </c>
      <c r="H13" t="s">
        <v>37</v>
      </c>
      <c r="I13" t="s">
        <v>38</v>
      </c>
      <c r="J13" t="s">
        <v>68</v>
      </c>
      <c r="K13" t="s">
        <v>69</v>
      </c>
      <c r="L13" t="s">
        <v>94</v>
      </c>
      <c r="M13" t="s">
        <v>42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31</v>
      </c>
      <c r="U13" t="s">
        <v>32</v>
      </c>
      <c r="V13">
        <f t="shared" si="0"/>
        <v>9628.5600000000013</v>
      </c>
      <c r="W13">
        <f t="shared" si="1"/>
        <v>1589.9700000000012</v>
      </c>
      <c r="X13">
        <f t="shared" si="2"/>
        <v>16.513061143099289</v>
      </c>
      <c r="Y13">
        <f t="shared" si="4"/>
        <v>1</v>
      </c>
      <c r="Z13" t="str" cm="1">
        <f t="array" ref="Z13">_xlfn.IFS(Y13&lt;0, "Invalid Date", ISBLANK(G13), "Missing Region", TRUE, "Clean")</f>
        <v>Clean</v>
      </c>
    </row>
    <row r="14" spans="1:26">
      <c r="A14" t="s">
        <v>95</v>
      </c>
      <c r="B14" s="4">
        <v>45646</v>
      </c>
      <c r="C14" s="6">
        <v>45647</v>
      </c>
      <c r="D14" t="s">
        <v>1964</v>
      </c>
      <c r="E14" t="s">
        <v>57</v>
      </c>
      <c r="F14" t="s">
        <v>81</v>
      </c>
      <c r="G14" t="s">
        <v>58</v>
      </c>
      <c r="H14" t="s">
        <v>25</v>
      </c>
      <c r="I14" t="s">
        <v>96</v>
      </c>
      <c r="J14" t="s">
        <v>27</v>
      </c>
      <c r="K14" t="s">
        <v>28</v>
      </c>
      <c r="L14" t="s">
        <v>97</v>
      </c>
      <c r="M14" t="s">
        <v>47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98</v>
      </c>
      <c r="U14" t="s">
        <v>92</v>
      </c>
      <c r="V14">
        <f t="shared" si="0"/>
        <v>596.81899999999996</v>
      </c>
      <c r="W14">
        <f t="shared" si="1"/>
        <v>216.56899999999996</v>
      </c>
      <c r="X14">
        <f t="shared" si="2"/>
        <v>36.287216057129548</v>
      </c>
      <c r="Y14">
        <f t="shared" si="4"/>
        <v>1</v>
      </c>
      <c r="Z14" t="str" cm="1">
        <f t="array" ref="Z14">_xlfn.IFS(Y14&lt;0, "Invalid Date", ISBLANK(G14), "Missing Region", TRUE, "Clean")</f>
        <v>Clean</v>
      </c>
    </row>
    <row r="15" spans="1:26">
      <c r="A15" t="s">
        <v>99</v>
      </c>
      <c r="B15" s="4">
        <v>46001</v>
      </c>
      <c r="C15" s="6">
        <v>45946</v>
      </c>
      <c r="D15" t="s">
        <v>1965</v>
      </c>
      <c r="E15" t="s">
        <v>100</v>
      </c>
      <c r="F15" t="s">
        <v>35</v>
      </c>
      <c r="G15" t="s">
        <v>58</v>
      </c>
      <c r="H15" t="s">
        <v>59</v>
      </c>
      <c r="I15" t="s">
        <v>60</v>
      </c>
      <c r="J15" t="s">
        <v>27</v>
      </c>
      <c r="K15" t="s">
        <v>45</v>
      </c>
      <c r="L15" t="s">
        <v>101</v>
      </c>
      <c r="M15" t="s">
        <v>30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31</v>
      </c>
      <c r="U15" t="s">
        <v>32</v>
      </c>
      <c r="V15">
        <f t="shared" si="0"/>
        <v>26365.387999999995</v>
      </c>
      <c r="W15">
        <f t="shared" si="1"/>
        <v>4059.1479999999938</v>
      </c>
      <c r="X15">
        <f t="shared" si="2"/>
        <v>15.395745361304733</v>
      </c>
      <c r="Y15">
        <f t="shared" si="4"/>
        <v>-55</v>
      </c>
      <c r="Z15" t="str" cm="1">
        <f t="array" ref="Z15">_xlfn.IFS(Y15&lt;0, "Invalid Date", ISBLANK(G15), "Missing Region", TRUE, "Clean")</f>
        <v>Invalid Date</v>
      </c>
    </row>
    <row r="16" spans="1:26">
      <c r="A16" t="s">
        <v>102</v>
      </c>
      <c r="B16" s="4">
        <v>45653</v>
      </c>
      <c r="C16" s="6">
        <v>45654</v>
      </c>
      <c r="D16" t="s">
        <v>1966</v>
      </c>
      <c r="E16" t="s">
        <v>103</v>
      </c>
      <c r="F16" t="s">
        <v>23</v>
      </c>
      <c r="G16" t="s">
        <v>58</v>
      </c>
      <c r="H16" t="s">
        <v>25</v>
      </c>
      <c r="I16" t="s">
        <v>96</v>
      </c>
      <c r="J16" t="s">
        <v>68</v>
      </c>
      <c r="K16" t="s">
        <v>73</v>
      </c>
      <c r="L16" t="s">
        <v>104</v>
      </c>
      <c r="M16" t="s">
        <v>55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31</v>
      </c>
      <c r="U16" t="s">
        <v>32</v>
      </c>
      <c r="V16">
        <f t="shared" si="0"/>
        <v>4106.7449999999999</v>
      </c>
      <c r="W16">
        <f t="shared" si="1"/>
        <v>1440.4449999999997</v>
      </c>
      <c r="X16">
        <f t="shared" si="2"/>
        <v>35.075102057712364</v>
      </c>
      <c r="Y16">
        <f t="shared" si="4"/>
        <v>1</v>
      </c>
      <c r="Z16" t="str" cm="1">
        <f t="array" ref="Z16">_xlfn.IFS(Y16&lt;0, "Invalid Date", ISBLANK(G16), "Missing Region", TRUE, "Clean")</f>
        <v>Clean</v>
      </c>
    </row>
    <row r="17" spans="1:26">
      <c r="A17" t="s">
        <v>105</v>
      </c>
      <c r="B17" s="4">
        <v>45482</v>
      </c>
      <c r="C17" s="6">
        <v>45542</v>
      </c>
      <c r="D17" t="s">
        <v>1967</v>
      </c>
      <c r="E17" t="s">
        <v>22</v>
      </c>
      <c r="F17" t="s">
        <v>35</v>
      </c>
      <c r="G17" t="s">
        <v>24</v>
      </c>
      <c r="H17" t="s">
        <v>106</v>
      </c>
      <c r="I17" t="s">
        <v>107</v>
      </c>
      <c r="J17" t="s">
        <v>27</v>
      </c>
      <c r="K17" t="s">
        <v>108</v>
      </c>
      <c r="L17" t="s">
        <v>109</v>
      </c>
      <c r="M17" t="s">
        <v>30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31</v>
      </c>
      <c r="U17" t="s">
        <v>32</v>
      </c>
      <c r="V17">
        <f t="shared" si="0"/>
        <v>23794.560000000001</v>
      </c>
      <c r="W17">
        <f t="shared" si="1"/>
        <v>8096.090000000002</v>
      </c>
      <c r="X17">
        <f t="shared" si="2"/>
        <v>34.02496200812287</v>
      </c>
      <c r="Y17">
        <f t="shared" si="4"/>
        <v>60</v>
      </c>
      <c r="Z17" t="str" cm="1">
        <f t="array" ref="Z17">_xlfn.IFS(Y17&lt;0, "Invalid Date", ISBLANK(G17), "Missing Region", TRUE, "Clean")</f>
        <v>Clean</v>
      </c>
    </row>
    <row r="18" spans="1:26">
      <c r="A18" t="s">
        <v>110</v>
      </c>
      <c r="B18" s="4">
        <v>45420</v>
      </c>
      <c r="C18" s="6">
        <v>45427</v>
      </c>
      <c r="D18" t="s">
        <v>1968</v>
      </c>
      <c r="E18" t="s">
        <v>111</v>
      </c>
      <c r="F18" t="s">
        <v>23</v>
      </c>
      <c r="G18" t="s">
        <v>50</v>
      </c>
      <c r="H18" t="s">
        <v>51</v>
      </c>
      <c r="I18" t="s">
        <v>52</v>
      </c>
      <c r="J18" t="s">
        <v>27</v>
      </c>
      <c r="K18" t="s">
        <v>45</v>
      </c>
      <c r="L18" t="s">
        <v>112</v>
      </c>
      <c r="M18" t="s">
        <v>47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31</v>
      </c>
      <c r="U18" t="s">
        <v>32</v>
      </c>
      <c r="V18">
        <f t="shared" si="0"/>
        <v>9970.5300000000007</v>
      </c>
      <c r="W18">
        <f t="shared" si="1"/>
        <v>4302.3600000000006</v>
      </c>
      <c r="X18">
        <f t="shared" si="2"/>
        <v>43.150765305354881</v>
      </c>
      <c r="Y18">
        <f t="shared" si="4"/>
        <v>7</v>
      </c>
      <c r="Z18" t="str" cm="1">
        <f t="array" ref="Z18">_xlfn.IFS(Y18&lt;0, "Invalid Date", ISBLANK(G18), "Missing Region", TRUE, "Clean")</f>
        <v>Clean</v>
      </c>
    </row>
    <row r="19" spans="1:26">
      <c r="A19" t="s">
        <v>113</v>
      </c>
      <c r="B19" s="4">
        <v>45298</v>
      </c>
      <c r="C19" s="6">
        <v>45505</v>
      </c>
      <c r="D19" t="s">
        <v>1969</v>
      </c>
      <c r="E19" t="s">
        <v>114</v>
      </c>
      <c r="F19" t="s">
        <v>35</v>
      </c>
      <c r="G19" t="s">
        <v>24</v>
      </c>
      <c r="H19" t="s">
        <v>25</v>
      </c>
      <c r="I19" t="s">
        <v>26</v>
      </c>
      <c r="J19" t="s">
        <v>39</v>
      </c>
      <c r="K19" t="s">
        <v>53</v>
      </c>
      <c r="L19" t="s">
        <v>115</v>
      </c>
      <c r="M19" t="s">
        <v>42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31</v>
      </c>
      <c r="U19" t="s">
        <v>32</v>
      </c>
      <c r="V19">
        <f t="shared" si="0"/>
        <v>7633.9</v>
      </c>
      <c r="W19">
        <f t="shared" si="1"/>
        <v>2926.99</v>
      </c>
      <c r="X19">
        <f t="shared" si="2"/>
        <v>38.342000812166781</v>
      </c>
      <c r="Y19">
        <f t="shared" si="4"/>
        <v>207</v>
      </c>
      <c r="Z19" t="str" cm="1">
        <f t="array" ref="Z19">_xlfn.IFS(Y19&lt;0, "Invalid Date", ISBLANK(G19), "Missing Region", TRUE, "Clean")</f>
        <v>Clean</v>
      </c>
    </row>
    <row r="20" spans="1:26">
      <c r="A20" t="s">
        <v>116</v>
      </c>
      <c r="B20" s="4">
        <v>45853</v>
      </c>
      <c r="C20" s="6">
        <v>45855</v>
      </c>
      <c r="D20" t="s">
        <v>1970</v>
      </c>
      <c r="E20" t="s">
        <v>111</v>
      </c>
      <c r="F20" t="s">
        <v>85</v>
      </c>
      <c r="G20" t="s">
        <v>24</v>
      </c>
      <c r="H20" t="s">
        <v>117</v>
      </c>
      <c r="I20" t="s">
        <v>118</v>
      </c>
      <c r="J20" t="s">
        <v>68</v>
      </c>
      <c r="K20" t="s">
        <v>73</v>
      </c>
      <c r="L20" t="s">
        <v>119</v>
      </c>
      <c r="M20" t="s">
        <v>47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91</v>
      </c>
      <c r="U20" t="s">
        <v>63</v>
      </c>
      <c r="V20">
        <f t="shared" si="0"/>
        <v>3995.98</v>
      </c>
      <c r="W20">
        <f t="shared" si="1"/>
        <v>1362.7800000000002</v>
      </c>
      <c r="X20">
        <f t="shared" si="2"/>
        <v>34.103774293164633</v>
      </c>
      <c r="Y20">
        <f t="shared" si="4"/>
        <v>2</v>
      </c>
      <c r="Z20" t="str" cm="1">
        <f t="array" ref="Z20">_xlfn.IFS(Y20&lt;0, "Invalid Date", ISBLANK(G20), "Missing Region", TRUE, "Clean")</f>
        <v>Clean</v>
      </c>
    </row>
    <row r="21" spans="1:26">
      <c r="A21" t="s">
        <v>120</v>
      </c>
      <c r="B21" s="4">
        <v>45500</v>
      </c>
      <c r="C21" s="6">
        <v>45504</v>
      </c>
      <c r="D21" t="s">
        <v>1971</v>
      </c>
      <c r="E21" t="s">
        <v>121</v>
      </c>
      <c r="F21" t="s">
        <v>85</v>
      </c>
      <c r="G21" t="s">
        <v>58</v>
      </c>
      <c r="H21" t="s">
        <v>66</v>
      </c>
      <c r="I21" t="s">
        <v>67</v>
      </c>
      <c r="J21" t="s">
        <v>27</v>
      </c>
      <c r="K21" t="s">
        <v>108</v>
      </c>
      <c r="L21" t="s">
        <v>122</v>
      </c>
      <c r="M21" t="s">
        <v>30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31</v>
      </c>
      <c r="U21" t="s">
        <v>32</v>
      </c>
      <c r="V21">
        <f t="shared" si="0"/>
        <v>13879.9458</v>
      </c>
      <c r="W21">
        <f t="shared" si="1"/>
        <v>6350.6357999999991</v>
      </c>
      <c r="X21">
        <f t="shared" si="2"/>
        <v>45.754038895454471</v>
      </c>
      <c r="Y21">
        <f t="shared" si="4"/>
        <v>4</v>
      </c>
      <c r="Z21" t="str" cm="1">
        <f t="array" ref="Z21">_xlfn.IFS(Y21&lt;0, "Invalid Date", ISBLANK(G21), "Missing Region", TRUE, "Clean")</f>
        <v>Clean</v>
      </c>
    </row>
    <row r="22" spans="1:26">
      <c r="A22" t="s">
        <v>123</v>
      </c>
      <c r="B22" s="4">
        <v>45678</v>
      </c>
      <c r="C22" s="6">
        <v>45680</v>
      </c>
      <c r="D22" t="s">
        <v>1972</v>
      </c>
      <c r="E22" t="s">
        <v>80</v>
      </c>
      <c r="F22" t="s">
        <v>85</v>
      </c>
      <c r="G22" t="s">
        <v>36</v>
      </c>
      <c r="H22" t="s">
        <v>124</v>
      </c>
      <c r="I22" t="s">
        <v>125</v>
      </c>
      <c r="J22" t="s">
        <v>68</v>
      </c>
      <c r="K22" t="s">
        <v>73</v>
      </c>
      <c r="L22" t="s">
        <v>126</v>
      </c>
      <c r="M22" t="s">
        <v>47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31</v>
      </c>
      <c r="U22" t="s">
        <v>32</v>
      </c>
      <c r="V22">
        <f t="shared" si="0"/>
        <v>16398.975000000002</v>
      </c>
      <c r="W22">
        <f t="shared" si="1"/>
        <v>6842.4550000000017</v>
      </c>
      <c r="X22">
        <f t="shared" si="2"/>
        <v>41.724894391265309</v>
      </c>
      <c r="Y22">
        <f t="shared" si="4"/>
        <v>2</v>
      </c>
      <c r="Z22" t="str" cm="1">
        <f t="array" ref="Z22">_xlfn.IFS(Y22&lt;0, "Invalid Date", ISBLANK(G22), "Missing Region", TRUE, "Clean")</f>
        <v>Clean</v>
      </c>
    </row>
    <row r="23" spans="1:26">
      <c r="A23" t="s">
        <v>127</v>
      </c>
      <c r="B23" s="4">
        <v>45681</v>
      </c>
      <c r="C23" s="6">
        <v>45687</v>
      </c>
      <c r="D23" t="s">
        <v>1973</v>
      </c>
      <c r="E23" t="s">
        <v>114</v>
      </c>
      <c r="F23" t="s">
        <v>23</v>
      </c>
      <c r="G23" t="s">
        <v>58</v>
      </c>
      <c r="H23" t="s">
        <v>66</v>
      </c>
      <c r="I23" t="s">
        <v>67</v>
      </c>
      <c r="J23" t="s">
        <v>39</v>
      </c>
      <c r="K23" t="s">
        <v>53</v>
      </c>
      <c r="L23" t="s">
        <v>128</v>
      </c>
      <c r="M23" t="s">
        <v>30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31</v>
      </c>
      <c r="U23" t="s">
        <v>32</v>
      </c>
      <c r="V23">
        <f t="shared" si="0"/>
        <v>3432.6348000000003</v>
      </c>
      <c r="W23">
        <f t="shared" si="1"/>
        <v>1394.9248000000002</v>
      </c>
      <c r="X23">
        <f t="shared" si="2"/>
        <v>40.637145553613806</v>
      </c>
      <c r="Y23">
        <f t="shared" si="4"/>
        <v>6</v>
      </c>
      <c r="Z23" t="str" cm="1">
        <f t="array" ref="Z23">_xlfn.IFS(Y23&lt;0, "Invalid Date", ISBLANK(G23), "Missing Region", TRUE, "Clean")</f>
        <v>Clean</v>
      </c>
    </row>
    <row r="24" spans="1:26">
      <c r="A24" t="s">
        <v>129</v>
      </c>
      <c r="B24" s="4">
        <v>45676</v>
      </c>
      <c r="C24" s="6">
        <v>45678</v>
      </c>
      <c r="D24" t="s">
        <v>1974</v>
      </c>
      <c r="E24" t="s">
        <v>34</v>
      </c>
      <c r="F24" t="s">
        <v>23</v>
      </c>
      <c r="G24" t="s">
        <v>50</v>
      </c>
      <c r="H24" t="s">
        <v>51</v>
      </c>
      <c r="I24" t="s">
        <v>52</v>
      </c>
      <c r="J24" t="s">
        <v>27</v>
      </c>
      <c r="K24" t="s">
        <v>130</v>
      </c>
      <c r="L24" t="s">
        <v>131</v>
      </c>
      <c r="M24" t="s">
        <v>55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132</v>
      </c>
      <c r="U24" t="s">
        <v>92</v>
      </c>
      <c r="V24">
        <f t="shared" si="0"/>
        <v>8291.5119999999988</v>
      </c>
      <c r="W24">
        <f t="shared" si="1"/>
        <v>1606.4819999999991</v>
      </c>
      <c r="X24">
        <f t="shared" si="2"/>
        <v>19.375018693816028</v>
      </c>
      <c r="Y24">
        <f t="shared" si="4"/>
        <v>2</v>
      </c>
      <c r="Z24" t="str" cm="1">
        <f t="array" ref="Z24">_xlfn.IFS(Y24&lt;0, "Invalid Date", ISBLANK(G24), "Missing Region", TRUE, "Clean")</f>
        <v>Clean</v>
      </c>
    </row>
    <row r="25" spans="1:26">
      <c r="A25" t="s">
        <v>133</v>
      </c>
      <c r="B25" s="4">
        <v>45898</v>
      </c>
      <c r="C25" s="6">
        <v>45900</v>
      </c>
      <c r="D25" t="s">
        <v>1975</v>
      </c>
      <c r="E25" t="s">
        <v>103</v>
      </c>
      <c r="F25" t="s">
        <v>85</v>
      </c>
      <c r="G25" t="s">
        <v>36</v>
      </c>
      <c r="H25" t="s">
        <v>124</v>
      </c>
      <c r="I25" t="s">
        <v>125</v>
      </c>
      <c r="J25" t="s">
        <v>39</v>
      </c>
      <c r="K25" t="s">
        <v>134</v>
      </c>
      <c r="L25" t="s">
        <v>135</v>
      </c>
      <c r="M25" t="s">
        <v>47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31</v>
      </c>
      <c r="U25" t="s">
        <v>32</v>
      </c>
      <c r="V25">
        <f t="shared" si="0"/>
        <v>6265.6320000000005</v>
      </c>
      <c r="W25">
        <f t="shared" si="1"/>
        <v>1943.7720000000008</v>
      </c>
      <c r="X25">
        <f t="shared" si="2"/>
        <v>31.022760353624353</v>
      </c>
      <c r="Y25">
        <f t="shared" si="4"/>
        <v>2</v>
      </c>
      <c r="Z25" t="str" cm="1">
        <f t="array" ref="Z25">_xlfn.IFS(Y25&lt;0, "Invalid Date", ISBLANK(G25), "Missing Region", TRUE, "Clean")</f>
        <v>Clean</v>
      </c>
    </row>
    <row r="26" spans="1:26">
      <c r="A26" t="s">
        <v>136</v>
      </c>
      <c r="B26" s="4">
        <v>45385</v>
      </c>
      <c r="C26" s="6">
        <v>45352</v>
      </c>
      <c r="D26" t="s">
        <v>1976</v>
      </c>
      <c r="E26" t="s">
        <v>137</v>
      </c>
      <c r="F26" t="s">
        <v>23</v>
      </c>
      <c r="G26" t="s">
        <v>24</v>
      </c>
      <c r="H26" t="s">
        <v>106</v>
      </c>
      <c r="I26" t="s">
        <v>107</v>
      </c>
      <c r="J26" t="s">
        <v>27</v>
      </c>
      <c r="K26" t="s">
        <v>45</v>
      </c>
      <c r="L26" t="s">
        <v>138</v>
      </c>
      <c r="M26" t="s">
        <v>55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98</v>
      </c>
      <c r="U26" t="s">
        <v>63</v>
      </c>
      <c r="V26">
        <f t="shared" si="0"/>
        <v>13478.82</v>
      </c>
      <c r="W26">
        <f t="shared" si="1"/>
        <v>2541.4699999999993</v>
      </c>
      <c r="X26">
        <f t="shared" si="2"/>
        <v>18.85528555170259</v>
      </c>
      <c r="Y26">
        <f t="shared" si="4"/>
        <v>-33</v>
      </c>
      <c r="Z26" t="str" cm="1">
        <f t="array" ref="Z26">_xlfn.IFS(Y26&lt;0, "Invalid Date", ISBLANK(G26), "Missing Region", TRUE, "Clean")</f>
        <v>Invalid Date</v>
      </c>
    </row>
    <row r="27" spans="1:26">
      <c r="A27" t="s">
        <v>139</v>
      </c>
      <c r="B27" s="4">
        <v>45606</v>
      </c>
      <c r="C27" s="6">
        <v>45584</v>
      </c>
      <c r="D27" t="s">
        <v>1977</v>
      </c>
      <c r="E27" t="s">
        <v>49</v>
      </c>
      <c r="F27" t="s">
        <v>81</v>
      </c>
      <c r="G27" t="s">
        <v>36</v>
      </c>
      <c r="H27" t="s">
        <v>140</v>
      </c>
      <c r="I27" t="s">
        <v>141</v>
      </c>
      <c r="J27" t="s">
        <v>68</v>
      </c>
      <c r="K27" t="s">
        <v>69</v>
      </c>
      <c r="L27" t="s">
        <v>142</v>
      </c>
      <c r="M27" t="s">
        <v>47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31</v>
      </c>
      <c r="U27" t="s">
        <v>32</v>
      </c>
      <c r="V27">
        <f t="shared" si="0"/>
        <v>7335.8399999999992</v>
      </c>
      <c r="W27">
        <f t="shared" si="1"/>
        <v>2367.4299999999994</v>
      </c>
      <c r="X27">
        <f t="shared" si="2"/>
        <v>32.272105171323254</v>
      </c>
      <c r="Y27">
        <f t="shared" si="4"/>
        <v>-22</v>
      </c>
      <c r="Z27" t="str" cm="1">
        <f t="array" ref="Z27">_xlfn.IFS(Y27&lt;0, "Invalid Date", ISBLANK(G27), "Missing Region", TRUE, "Clean")</f>
        <v>Invalid Date</v>
      </c>
    </row>
    <row r="28" spans="1:26">
      <c r="A28" t="s">
        <v>143</v>
      </c>
      <c r="B28" s="4">
        <v>45619</v>
      </c>
      <c r="C28" s="6">
        <v>45619</v>
      </c>
      <c r="D28" t="s">
        <v>1978</v>
      </c>
      <c r="E28" t="s">
        <v>137</v>
      </c>
      <c r="F28" t="s">
        <v>81</v>
      </c>
      <c r="G28" t="s">
        <v>24</v>
      </c>
      <c r="H28" t="s">
        <v>117</v>
      </c>
      <c r="I28" t="s">
        <v>118</v>
      </c>
      <c r="J28" t="s">
        <v>68</v>
      </c>
      <c r="K28" t="s">
        <v>144</v>
      </c>
      <c r="L28" t="s">
        <v>145</v>
      </c>
      <c r="M28" t="s">
        <v>55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31</v>
      </c>
      <c r="U28" t="s">
        <v>92</v>
      </c>
      <c r="V28">
        <f t="shared" si="0"/>
        <v>2578.0680000000002</v>
      </c>
      <c r="W28">
        <f t="shared" si="1"/>
        <v>1050.5180000000003</v>
      </c>
      <c r="X28">
        <f t="shared" si="2"/>
        <v>40.748265755596833</v>
      </c>
      <c r="Y28">
        <f t="shared" si="4"/>
        <v>0</v>
      </c>
      <c r="Z28" t="str" cm="1">
        <f t="array" ref="Z28">_xlfn.IFS(Y28&lt;0, "Invalid Date", ISBLANK(G28), "Missing Region", TRUE, "Clean")</f>
        <v>Clean</v>
      </c>
    </row>
    <row r="29" spans="1:26">
      <c r="A29" t="s">
        <v>146</v>
      </c>
      <c r="B29" s="4">
        <v>45929</v>
      </c>
      <c r="C29" s="6">
        <v>45787</v>
      </c>
      <c r="D29" t="s">
        <v>1979</v>
      </c>
      <c r="E29" t="s">
        <v>49</v>
      </c>
      <c r="F29" t="s">
        <v>35</v>
      </c>
      <c r="G29" t="s">
        <v>50</v>
      </c>
      <c r="H29" t="s">
        <v>147</v>
      </c>
      <c r="I29" t="s">
        <v>148</v>
      </c>
      <c r="J29" t="s">
        <v>27</v>
      </c>
      <c r="K29" t="s">
        <v>28</v>
      </c>
      <c r="L29" t="s">
        <v>149</v>
      </c>
      <c r="M29" t="s">
        <v>30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132</v>
      </c>
      <c r="U29" t="s">
        <v>92</v>
      </c>
      <c r="V29">
        <f t="shared" si="0"/>
        <v>6774.4124999999995</v>
      </c>
      <c r="W29">
        <f t="shared" si="1"/>
        <v>2064.0524999999998</v>
      </c>
      <c r="X29">
        <f t="shared" si="2"/>
        <v>30.468361647596748</v>
      </c>
      <c r="Y29">
        <f t="shared" si="4"/>
        <v>-142</v>
      </c>
      <c r="Z29" t="str" cm="1">
        <f t="array" ref="Z29">_xlfn.IFS(Y29&lt;0, "Invalid Date", ISBLANK(G29), "Missing Region", TRUE, "Clean")</f>
        <v>Invalid Date</v>
      </c>
    </row>
    <row r="30" spans="1:26">
      <c r="A30" t="s">
        <v>150</v>
      </c>
      <c r="B30" s="4">
        <v>45606</v>
      </c>
      <c r="C30" s="6">
        <v>45583</v>
      </c>
      <c r="D30" t="s">
        <v>1980</v>
      </c>
      <c r="E30" t="s">
        <v>57</v>
      </c>
      <c r="F30" t="s">
        <v>85</v>
      </c>
      <c r="G30" t="s">
        <v>58</v>
      </c>
      <c r="H30" t="s">
        <v>151</v>
      </c>
      <c r="I30" t="s">
        <v>152</v>
      </c>
      <c r="J30" t="s">
        <v>68</v>
      </c>
      <c r="K30" t="s">
        <v>144</v>
      </c>
      <c r="L30" t="s">
        <v>153</v>
      </c>
      <c r="M30" t="s">
        <v>30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91</v>
      </c>
      <c r="U30" t="s">
        <v>63</v>
      </c>
      <c r="V30">
        <f t="shared" si="0"/>
        <v>2913.33</v>
      </c>
      <c r="W30">
        <f t="shared" si="1"/>
        <v>791</v>
      </c>
      <c r="X30">
        <f t="shared" si="2"/>
        <v>27.151060813570727</v>
      </c>
      <c r="Y30">
        <f t="shared" si="4"/>
        <v>-23</v>
      </c>
      <c r="Z30" t="str" cm="1">
        <f t="array" ref="Z30">_xlfn.IFS(Y30&lt;0, "Invalid Date", ISBLANK(G30), "Missing Region", TRUE, "Clean")</f>
        <v>Invalid Date</v>
      </c>
    </row>
    <row r="31" spans="1:26">
      <c r="A31" t="s">
        <v>154</v>
      </c>
      <c r="B31" s="4">
        <v>45882</v>
      </c>
      <c r="C31" s="6">
        <v>45882</v>
      </c>
      <c r="D31" t="s">
        <v>1981</v>
      </c>
      <c r="E31" t="s">
        <v>121</v>
      </c>
      <c r="F31" t="s">
        <v>85</v>
      </c>
      <c r="G31" t="s">
        <v>50</v>
      </c>
      <c r="H31" t="s">
        <v>155</v>
      </c>
      <c r="I31" t="s">
        <v>156</v>
      </c>
      <c r="J31" t="s">
        <v>68</v>
      </c>
      <c r="K31" t="s">
        <v>144</v>
      </c>
      <c r="L31" t="s">
        <v>157</v>
      </c>
      <c r="M31" t="s">
        <v>55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31</v>
      </c>
      <c r="U31" t="s">
        <v>32</v>
      </c>
      <c r="V31">
        <f t="shared" si="0"/>
        <v>217.60849999999999</v>
      </c>
      <c r="W31">
        <f t="shared" si="1"/>
        <v>97.838499999999996</v>
      </c>
      <c r="X31">
        <f t="shared" si="2"/>
        <v>44.96078967503567</v>
      </c>
      <c r="Y31">
        <f t="shared" si="4"/>
        <v>0</v>
      </c>
      <c r="Z31" t="str" cm="1">
        <f t="array" ref="Z31">_xlfn.IFS(Y31&lt;0, "Invalid Date", ISBLANK(G31), "Missing Region", TRUE, "Clean")</f>
        <v>Clean</v>
      </c>
    </row>
    <row r="32" spans="1:26">
      <c r="A32" t="s">
        <v>158</v>
      </c>
      <c r="B32" s="4">
        <v>45537</v>
      </c>
      <c r="C32" s="6">
        <v>45334</v>
      </c>
      <c r="D32" t="s">
        <v>1982</v>
      </c>
      <c r="E32" t="s">
        <v>57</v>
      </c>
      <c r="F32" t="s">
        <v>81</v>
      </c>
      <c r="G32" t="s">
        <v>58</v>
      </c>
      <c r="H32" t="s">
        <v>159</v>
      </c>
      <c r="I32" t="s">
        <v>160</v>
      </c>
      <c r="J32" t="s">
        <v>27</v>
      </c>
      <c r="K32" t="s">
        <v>82</v>
      </c>
      <c r="L32" t="s">
        <v>161</v>
      </c>
      <c r="M32" t="s">
        <v>47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31</v>
      </c>
      <c r="U32" t="s">
        <v>32</v>
      </c>
      <c r="V32">
        <f t="shared" si="0"/>
        <v>3079.5929999999998</v>
      </c>
      <c r="W32">
        <f t="shared" si="1"/>
        <v>1077.7029999999997</v>
      </c>
      <c r="X32">
        <f t="shared" si="2"/>
        <v>34.994981479695525</v>
      </c>
      <c r="Y32">
        <f t="shared" si="4"/>
        <v>-203</v>
      </c>
      <c r="Z32" t="str" cm="1">
        <f t="array" ref="Z32">_xlfn.IFS(Y32&lt;0, "Invalid Date", ISBLANK(G32), "Missing Region", TRUE, "Clean")</f>
        <v>Invalid Date</v>
      </c>
    </row>
    <row r="33" spans="1:26">
      <c r="A33" t="s">
        <v>162</v>
      </c>
      <c r="B33" s="4">
        <v>45823</v>
      </c>
      <c r="C33" s="6">
        <v>45827</v>
      </c>
      <c r="D33" t="s">
        <v>1983</v>
      </c>
      <c r="E33" t="s">
        <v>22</v>
      </c>
      <c r="F33" t="s">
        <v>35</v>
      </c>
      <c r="G33" t="s">
        <v>58</v>
      </c>
      <c r="H33" t="s">
        <v>66</v>
      </c>
      <c r="I33" t="s">
        <v>67</v>
      </c>
      <c r="J33" t="s">
        <v>27</v>
      </c>
      <c r="K33" t="s">
        <v>28</v>
      </c>
      <c r="L33" t="s">
        <v>163</v>
      </c>
      <c r="M33" t="s">
        <v>30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132</v>
      </c>
      <c r="U33" t="s">
        <v>92</v>
      </c>
      <c r="V33">
        <f t="shared" si="0"/>
        <v>27832.95</v>
      </c>
      <c r="W33">
        <f t="shared" si="1"/>
        <v>10063.200000000001</v>
      </c>
      <c r="X33">
        <f t="shared" si="2"/>
        <v>36.155707533696571</v>
      </c>
      <c r="Y33">
        <f t="shared" si="4"/>
        <v>4</v>
      </c>
      <c r="Z33" t="str" cm="1">
        <f t="array" ref="Z33">_xlfn.IFS(Y33&lt;0, "Invalid Date", ISBLANK(G33), "Missing Region", TRUE, "Clean")</f>
        <v>Clean</v>
      </c>
    </row>
    <row r="34" spans="1:26">
      <c r="A34" t="s">
        <v>164</v>
      </c>
      <c r="B34" s="4">
        <v>45618</v>
      </c>
      <c r="C34" s="6">
        <v>45622</v>
      </c>
      <c r="D34" t="s">
        <v>1984</v>
      </c>
      <c r="E34" t="s">
        <v>111</v>
      </c>
      <c r="F34" t="s">
        <v>81</v>
      </c>
      <c r="G34" t="s">
        <v>50</v>
      </c>
      <c r="H34" t="s">
        <v>76</v>
      </c>
      <c r="I34" t="s">
        <v>77</v>
      </c>
      <c r="J34" t="s">
        <v>68</v>
      </c>
      <c r="K34" t="s">
        <v>144</v>
      </c>
      <c r="L34" t="s">
        <v>165</v>
      </c>
      <c r="M34" t="s">
        <v>30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31</v>
      </c>
      <c r="U34" t="s">
        <v>32</v>
      </c>
      <c r="V34">
        <f t="shared" si="0"/>
        <v>12003.75</v>
      </c>
      <c r="W34">
        <f t="shared" si="1"/>
        <v>4473.83</v>
      </c>
      <c r="X34">
        <f t="shared" si="2"/>
        <v>37.270269707383108</v>
      </c>
      <c r="Y34">
        <f t="shared" si="4"/>
        <v>4</v>
      </c>
      <c r="Z34" t="str" cm="1">
        <f t="array" ref="Z34">_xlfn.IFS(Y34&lt;0, "Invalid Date", ISBLANK(G34), "Missing Region", TRUE, "Clean")</f>
        <v>Clean</v>
      </c>
    </row>
    <row r="35" spans="1:26">
      <c r="A35" t="s">
        <v>166</v>
      </c>
      <c r="B35" s="4">
        <v>45495</v>
      </c>
      <c r="C35" s="6">
        <v>45500</v>
      </c>
      <c r="D35" t="s">
        <v>1985</v>
      </c>
      <c r="E35" t="s">
        <v>100</v>
      </c>
      <c r="F35" t="s">
        <v>85</v>
      </c>
      <c r="G35" t="s">
        <v>58</v>
      </c>
      <c r="H35" t="s">
        <v>159</v>
      </c>
      <c r="I35" t="s">
        <v>160</v>
      </c>
      <c r="J35" t="s">
        <v>39</v>
      </c>
      <c r="K35" t="s">
        <v>40</v>
      </c>
      <c r="L35" t="s">
        <v>167</v>
      </c>
      <c r="M35" t="s">
        <v>42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31</v>
      </c>
      <c r="U35" t="s">
        <v>32</v>
      </c>
      <c r="V35">
        <f t="shared" si="0"/>
        <v>2585.1525000000001</v>
      </c>
      <c r="W35">
        <f t="shared" si="1"/>
        <v>514.42250000000013</v>
      </c>
      <c r="X35">
        <f t="shared" si="2"/>
        <v>19.899116203009303</v>
      </c>
      <c r="Y35">
        <f t="shared" si="4"/>
        <v>5</v>
      </c>
      <c r="Z35" t="str" cm="1">
        <f t="array" ref="Z35">_xlfn.IFS(Y35&lt;0, "Invalid Date", ISBLANK(G35), "Missing Region", TRUE, "Clean")</f>
        <v>Clean</v>
      </c>
    </row>
    <row r="36" spans="1:26">
      <c r="A36" t="s">
        <v>168</v>
      </c>
      <c r="B36" s="4">
        <v>45688</v>
      </c>
      <c r="C36" s="6">
        <v>45779</v>
      </c>
      <c r="D36" t="s">
        <v>1986</v>
      </c>
      <c r="E36" t="s">
        <v>100</v>
      </c>
      <c r="F36" t="s">
        <v>85</v>
      </c>
      <c r="G36" t="s">
        <v>36</v>
      </c>
      <c r="H36" t="s">
        <v>88</v>
      </c>
      <c r="I36" t="s">
        <v>89</v>
      </c>
      <c r="J36" t="s">
        <v>39</v>
      </c>
      <c r="K36" t="s">
        <v>61</v>
      </c>
      <c r="L36" t="s">
        <v>169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31</v>
      </c>
      <c r="U36" t="s">
        <v>32</v>
      </c>
      <c r="V36">
        <f t="shared" si="0"/>
        <v>6655.5039999999999</v>
      </c>
      <c r="W36">
        <f t="shared" si="1"/>
        <v>2315.2939999999999</v>
      </c>
      <c r="X36">
        <f t="shared" si="2"/>
        <v>34.787658455317583</v>
      </c>
      <c r="Y36">
        <f t="shared" si="4"/>
        <v>91</v>
      </c>
      <c r="Z36" t="str" cm="1">
        <f t="array" ref="Z36">_xlfn.IFS(Y36&lt;0, "Invalid Date", ISBLANK(G36), "Missing Region", TRUE, "Clean")</f>
        <v>Clean</v>
      </c>
    </row>
    <row r="37" spans="1:26">
      <c r="A37" t="s">
        <v>170</v>
      </c>
      <c r="B37" s="4">
        <v>45441</v>
      </c>
      <c r="C37" s="6">
        <v>45441</v>
      </c>
      <c r="D37" t="s">
        <v>1987</v>
      </c>
      <c r="E37" t="s">
        <v>114</v>
      </c>
      <c r="F37" t="s">
        <v>35</v>
      </c>
      <c r="G37" t="s">
        <v>58</v>
      </c>
      <c r="H37" t="s">
        <v>151</v>
      </c>
      <c r="I37" t="s">
        <v>152</v>
      </c>
      <c r="J37" t="s">
        <v>39</v>
      </c>
      <c r="K37" t="s">
        <v>134</v>
      </c>
      <c r="L37" t="s">
        <v>171</v>
      </c>
      <c r="M37" t="s">
        <v>30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98</v>
      </c>
      <c r="U37" t="s">
        <v>92</v>
      </c>
      <c r="V37">
        <f t="shared" si="0"/>
        <v>19054.111999999997</v>
      </c>
      <c r="W37">
        <f t="shared" si="1"/>
        <v>3740.2819999999974</v>
      </c>
      <c r="X37">
        <f t="shared" si="2"/>
        <v>19.629789097492438</v>
      </c>
      <c r="Y37">
        <f t="shared" si="4"/>
        <v>0</v>
      </c>
      <c r="Z37" t="str" cm="1">
        <f t="array" ref="Z37">_xlfn.IFS(Y37&lt;0, "Invalid Date", ISBLANK(G37), "Missing Region", TRUE, "Clean")</f>
        <v>Clean</v>
      </c>
    </row>
    <row r="38" spans="1:26">
      <c r="A38" t="s">
        <v>172</v>
      </c>
      <c r="B38" s="4">
        <v>45590</v>
      </c>
      <c r="C38" s="6">
        <v>45593</v>
      </c>
      <c r="D38" t="s">
        <v>1988</v>
      </c>
      <c r="E38" t="s">
        <v>121</v>
      </c>
      <c r="F38" t="s">
        <v>81</v>
      </c>
      <c r="G38" t="s">
        <v>58</v>
      </c>
      <c r="H38" t="s">
        <v>59</v>
      </c>
      <c r="I38" t="s">
        <v>60</v>
      </c>
      <c r="J38" t="s">
        <v>39</v>
      </c>
      <c r="K38" t="s">
        <v>134</v>
      </c>
      <c r="L38" t="s">
        <v>173</v>
      </c>
      <c r="M38" t="s">
        <v>30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31</v>
      </c>
      <c r="U38" t="s">
        <v>92</v>
      </c>
      <c r="V38">
        <f t="shared" si="0"/>
        <v>9379.41</v>
      </c>
      <c r="W38">
        <f t="shared" si="1"/>
        <v>2708.5599999999995</v>
      </c>
      <c r="X38">
        <f t="shared" si="2"/>
        <v>28.877722585962225</v>
      </c>
      <c r="Y38">
        <f t="shared" si="4"/>
        <v>3</v>
      </c>
      <c r="Z38" t="str" cm="1">
        <f t="array" ref="Z38">_xlfn.IFS(Y38&lt;0, "Invalid Date", ISBLANK(G38), "Missing Region", TRUE, "Clean")</f>
        <v>Clean</v>
      </c>
    </row>
    <row r="39" spans="1:26">
      <c r="A39" t="s">
        <v>174</v>
      </c>
      <c r="B39" s="4">
        <v>45867</v>
      </c>
      <c r="C39" s="6">
        <v>45867</v>
      </c>
      <c r="D39" t="s">
        <v>1989</v>
      </c>
      <c r="E39" t="s">
        <v>137</v>
      </c>
      <c r="F39" t="s">
        <v>23</v>
      </c>
      <c r="G39" t="s">
        <v>58</v>
      </c>
      <c r="H39" t="s">
        <v>59</v>
      </c>
      <c r="I39" t="s">
        <v>60</v>
      </c>
      <c r="J39" t="s">
        <v>68</v>
      </c>
      <c r="K39" t="s">
        <v>73</v>
      </c>
      <c r="L39" t="s">
        <v>175</v>
      </c>
      <c r="M39" t="s">
        <v>176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31</v>
      </c>
      <c r="U39" t="s">
        <v>32</v>
      </c>
      <c r="V39">
        <f t="shared" si="0"/>
        <v>4248.1279999999997</v>
      </c>
      <c r="W39">
        <f t="shared" si="1"/>
        <v>927.03799999999956</v>
      </c>
      <c r="X39">
        <f t="shared" si="2"/>
        <v>21.822270892025845</v>
      </c>
      <c r="Y39">
        <f t="shared" si="4"/>
        <v>0</v>
      </c>
      <c r="Z39" t="str" cm="1">
        <f t="array" ref="Z39">_xlfn.IFS(Y39&lt;0, "Invalid Date", ISBLANK(G39), "Missing Region", TRUE, "Clean")</f>
        <v>Clean</v>
      </c>
    </row>
    <row r="40" spans="1:26">
      <c r="A40" t="s">
        <v>177</v>
      </c>
      <c r="B40" s="4">
        <v>45460</v>
      </c>
      <c r="C40" s="6">
        <v>45465</v>
      </c>
      <c r="D40" t="s">
        <v>1990</v>
      </c>
      <c r="E40" t="s">
        <v>111</v>
      </c>
      <c r="F40" t="s">
        <v>81</v>
      </c>
      <c r="G40" t="s">
        <v>58</v>
      </c>
      <c r="H40" t="s">
        <v>151</v>
      </c>
      <c r="I40" t="s">
        <v>152</v>
      </c>
      <c r="J40" t="s">
        <v>68</v>
      </c>
      <c r="K40" t="s">
        <v>144</v>
      </c>
      <c r="L40" t="s">
        <v>178</v>
      </c>
      <c r="M40" t="s">
        <v>47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31</v>
      </c>
      <c r="U40" t="s">
        <v>32</v>
      </c>
      <c r="V40">
        <f t="shared" si="0"/>
        <v>13927.284</v>
      </c>
      <c r="W40">
        <f t="shared" si="1"/>
        <v>3422.4139999999989</v>
      </c>
      <c r="X40">
        <f t="shared" si="2"/>
        <v>24.573448778670691</v>
      </c>
      <c r="Y40">
        <f t="shared" si="4"/>
        <v>5</v>
      </c>
      <c r="Z40" t="str" cm="1">
        <f t="array" ref="Z40">_xlfn.IFS(Y40&lt;0, "Invalid Date", ISBLANK(G40), "Missing Region", TRUE, "Clean")</f>
        <v>Clean</v>
      </c>
    </row>
    <row r="41" spans="1:26">
      <c r="A41" t="s">
        <v>179</v>
      </c>
      <c r="B41" s="4">
        <v>45637</v>
      </c>
      <c r="C41" s="6">
        <v>45608</v>
      </c>
      <c r="D41" t="s">
        <v>1991</v>
      </c>
      <c r="E41" t="s">
        <v>34</v>
      </c>
      <c r="F41" t="s">
        <v>35</v>
      </c>
      <c r="G41" t="s">
        <v>58</v>
      </c>
      <c r="H41" t="s">
        <v>66</v>
      </c>
      <c r="I41" t="s">
        <v>67</v>
      </c>
      <c r="J41" t="s">
        <v>68</v>
      </c>
      <c r="K41" t="s">
        <v>73</v>
      </c>
      <c r="L41" t="s">
        <v>180</v>
      </c>
      <c r="M41" t="s">
        <v>47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98</v>
      </c>
      <c r="U41" t="s">
        <v>92</v>
      </c>
      <c r="V41">
        <f t="shared" si="0"/>
        <v>4935.3120000000008</v>
      </c>
      <c r="W41">
        <f t="shared" si="1"/>
        <v>1560.5420000000008</v>
      </c>
      <c r="X41">
        <f t="shared" si="2"/>
        <v>31.619925954022776</v>
      </c>
      <c r="Y41">
        <f t="shared" si="4"/>
        <v>-29</v>
      </c>
      <c r="Z41" t="str" cm="1">
        <f t="array" ref="Z41">_xlfn.IFS(Y41&lt;0, "Invalid Date", ISBLANK(G41), "Missing Region", TRUE, "Clean")</f>
        <v>Invalid Date</v>
      </c>
    </row>
    <row r="42" spans="1:26">
      <c r="A42" t="s">
        <v>181</v>
      </c>
      <c r="B42" s="4">
        <v>45575</v>
      </c>
      <c r="C42" s="6">
        <v>45581</v>
      </c>
      <c r="D42" t="s">
        <v>1992</v>
      </c>
      <c r="E42" t="s">
        <v>44</v>
      </c>
      <c r="F42" t="s">
        <v>85</v>
      </c>
      <c r="G42" t="s">
        <v>58</v>
      </c>
      <c r="H42" t="s">
        <v>25</v>
      </c>
      <c r="I42" t="s">
        <v>96</v>
      </c>
      <c r="J42" t="s">
        <v>68</v>
      </c>
      <c r="K42" t="s">
        <v>73</v>
      </c>
      <c r="L42" t="s">
        <v>182</v>
      </c>
      <c r="M42" t="s">
        <v>55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31</v>
      </c>
      <c r="U42" t="s">
        <v>32</v>
      </c>
      <c r="V42">
        <f t="shared" si="0"/>
        <v>14051.912</v>
      </c>
      <c r="W42">
        <f t="shared" si="1"/>
        <v>2061.5419999999995</v>
      </c>
      <c r="X42">
        <f t="shared" si="2"/>
        <v>14.67090030168136</v>
      </c>
      <c r="Y42">
        <f t="shared" si="4"/>
        <v>6</v>
      </c>
      <c r="Z42" t="str" cm="1">
        <f t="array" ref="Z42">_xlfn.IFS(Y42&lt;0, "Invalid Date", ISBLANK(G42), "Missing Region", TRUE, "Clean")</f>
        <v>Clean</v>
      </c>
    </row>
    <row r="43" spans="1:26">
      <c r="A43" t="s">
        <v>183</v>
      </c>
      <c r="B43" s="4">
        <v>45363</v>
      </c>
      <c r="C43" s="6">
        <v>45368</v>
      </c>
      <c r="D43" t="s">
        <v>1993</v>
      </c>
      <c r="E43" t="s">
        <v>111</v>
      </c>
      <c r="F43" t="s">
        <v>35</v>
      </c>
      <c r="G43" t="s">
        <v>36</v>
      </c>
      <c r="H43" t="s">
        <v>37</v>
      </c>
      <c r="I43" t="s">
        <v>38</v>
      </c>
      <c r="J43" t="s">
        <v>39</v>
      </c>
      <c r="K43" t="s">
        <v>134</v>
      </c>
      <c r="L43" t="s">
        <v>184</v>
      </c>
      <c r="M43" t="s">
        <v>42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98</v>
      </c>
      <c r="U43" t="s">
        <v>63</v>
      </c>
      <c r="V43">
        <f t="shared" si="0"/>
        <v>6846.48</v>
      </c>
      <c r="W43">
        <f t="shared" si="1"/>
        <v>2606.5899999999992</v>
      </c>
      <c r="X43">
        <f t="shared" si="2"/>
        <v>38.071972750961066</v>
      </c>
      <c r="Y43">
        <f t="shared" si="4"/>
        <v>5</v>
      </c>
      <c r="Z43" t="str" cm="1">
        <f t="array" ref="Z43">_xlfn.IFS(Y43&lt;0, "Invalid Date", ISBLANK(G43), "Missing Region", TRUE, "Clean")</f>
        <v>Clean</v>
      </c>
    </row>
    <row r="44" spans="1:26">
      <c r="A44" t="s">
        <v>185</v>
      </c>
      <c r="B44" s="4">
        <v>45940</v>
      </c>
      <c r="C44" s="6">
        <v>45945</v>
      </c>
      <c r="D44" t="s">
        <v>1994</v>
      </c>
      <c r="E44" t="s">
        <v>49</v>
      </c>
      <c r="F44" t="s">
        <v>81</v>
      </c>
      <c r="G44" t="s">
        <v>36</v>
      </c>
      <c r="H44" t="s">
        <v>186</v>
      </c>
      <c r="I44" t="s">
        <v>187</v>
      </c>
      <c r="J44" t="s">
        <v>68</v>
      </c>
      <c r="K44" t="s">
        <v>144</v>
      </c>
      <c r="L44" t="s">
        <v>188</v>
      </c>
      <c r="M44" t="s">
        <v>55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31</v>
      </c>
      <c r="U44" t="s">
        <v>32</v>
      </c>
      <c r="V44">
        <f t="shared" si="0"/>
        <v>7447.0119999999997</v>
      </c>
      <c r="W44">
        <f t="shared" si="1"/>
        <v>2950.7919999999995</v>
      </c>
      <c r="X44">
        <f t="shared" si="2"/>
        <v>39.623838393170303</v>
      </c>
      <c r="Y44">
        <f t="shared" si="4"/>
        <v>5</v>
      </c>
      <c r="Z44" t="str" cm="1">
        <f t="array" ref="Z44">_xlfn.IFS(Y44&lt;0, "Invalid Date", ISBLANK(G44), "Missing Region", TRUE, "Clean")</f>
        <v>Clean</v>
      </c>
    </row>
    <row r="45" spans="1:26">
      <c r="A45" t="s">
        <v>189</v>
      </c>
      <c r="B45" s="4">
        <v>45481</v>
      </c>
      <c r="C45" s="6">
        <v>45487</v>
      </c>
      <c r="D45" t="s">
        <v>1995</v>
      </c>
      <c r="E45" t="s">
        <v>100</v>
      </c>
      <c r="F45" t="s">
        <v>35</v>
      </c>
      <c r="G45" t="s">
        <v>36</v>
      </c>
      <c r="H45" t="s">
        <v>37</v>
      </c>
      <c r="I45" t="s">
        <v>38</v>
      </c>
      <c r="J45" t="s">
        <v>39</v>
      </c>
      <c r="K45" t="s">
        <v>53</v>
      </c>
      <c r="L45" t="s">
        <v>190</v>
      </c>
      <c r="M45" t="s">
        <v>42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31</v>
      </c>
      <c r="U45" t="s">
        <v>32</v>
      </c>
      <c r="V45">
        <f t="shared" si="0"/>
        <v>3030.69</v>
      </c>
      <c r="W45">
        <f t="shared" si="1"/>
        <v>1309.6100000000001</v>
      </c>
      <c r="X45">
        <f t="shared" si="2"/>
        <v>43.211611877163293</v>
      </c>
      <c r="Y45">
        <f t="shared" si="4"/>
        <v>6</v>
      </c>
      <c r="Z45" t="str" cm="1">
        <f t="array" ref="Z45">_xlfn.IFS(Y45&lt;0, "Invalid Date", ISBLANK(G45), "Missing Region", TRUE, "Clean")</f>
        <v>Clean</v>
      </c>
    </row>
    <row r="46" spans="1:26">
      <c r="A46" t="s">
        <v>191</v>
      </c>
      <c r="B46" s="4">
        <v>45465</v>
      </c>
      <c r="C46" s="6">
        <v>45468</v>
      </c>
      <c r="D46" t="s">
        <v>1996</v>
      </c>
      <c r="E46" t="s">
        <v>121</v>
      </c>
      <c r="F46" t="s">
        <v>35</v>
      </c>
      <c r="G46" t="s">
        <v>24</v>
      </c>
      <c r="H46" t="s">
        <v>192</v>
      </c>
      <c r="I46" t="s">
        <v>193</v>
      </c>
      <c r="J46" t="s">
        <v>39</v>
      </c>
      <c r="K46" t="s">
        <v>61</v>
      </c>
      <c r="L46" t="s">
        <v>194</v>
      </c>
      <c r="M46" t="s">
        <v>55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31</v>
      </c>
      <c r="U46" t="s">
        <v>32</v>
      </c>
      <c r="V46">
        <f t="shared" si="0"/>
        <v>26971.137000000002</v>
      </c>
      <c r="W46">
        <f t="shared" si="1"/>
        <v>9594.9370000000017</v>
      </c>
      <c r="X46">
        <f t="shared" si="2"/>
        <v>35.574833200394927</v>
      </c>
      <c r="Y46">
        <f t="shared" si="4"/>
        <v>3</v>
      </c>
      <c r="Z46" t="str" cm="1">
        <f t="array" ref="Z46">_xlfn.IFS(Y46&lt;0, "Invalid Date", ISBLANK(G46), "Missing Region", TRUE, "Clean")</f>
        <v>Clean</v>
      </c>
    </row>
    <row r="47" spans="1:26">
      <c r="A47" t="s">
        <v>195</v>
      </c>
      <c r="B47" s="4">
        <v>45309</v>
      </c>
      <c r="C47" s="6">
        <v>45315</v>
      </c>
      <c r="D47" t="s">
        <v>1997</v>
      </c>
      <c r="E47" t="s">
        <v>44</v>
      </c>
      <c r="F47" t="s">
        <v>85</v>
      </c>
      <c r="G47" t="s">
        <v>36</v>
      </c>
      <c r="H47" t="s">
        <v>124</v>
      </c>
      <c r="I47" t="s">
        <v>125</v>
      </c>
      <c r="J47" t="s">
        <v>27</v>
      </c>
      <c r="K47" t="s">
        <v>45</v>
      </c>
      <c r="L47" t="s">
        <v>196</v>
      </c>
      <c r="M47" t="s">
        <v>30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98</v>
      </c>
      <c r="U47" t="s">
        <v>92</v>
      </c>
      <c r="V47">
        <f t="shared" si="0"/>
        <v>29851.432000000001</v>
      </c>
      <c r="W47">
        <f t="shared" si="1"/>
        <v>12363.952000000001</v>
      </c>
      <c r="X47">
        <f t="shared" si="2"/>
        <v>41.418287739094062</v>
      </c>
      <c r="Y47">
        <f t="shared" si="4"/>
        <v>6</v>
      </c>
      <c r="Z47" t="str" cm="1">
        <f t="array" ref="Z47">_xlfn.IFS(Y47&lt;0, "Invalid Date", ISBLANK(G47), "Missing Region", TRUE, "Clean")</f>
        <v>Clean</v>
      </c>
    </row>
    <row r="48" spans="1:26">
      <c r="A48" t="s">
        <v>197</v>
      </c>
      <c r="B48" s="4">
        <v>45492</v>
      </c>
      <c r="C48" s="6">
        <v>45492</v>
      </c>
      <c r="D48" t="s">
        <v>1998</v>
      </c>
      <c r="E48" t="s">
        <v>57</v>
      </c>
      <c r="F48" t="s">
        <v>35</v>
      </c>
      <c r="G48" t="s">
        <v>50</v>
      </c>
      <c r="H48" t="s">
        <v>155</v>
      </c>
      <c r="I48" t="s">
        <v>156</v>
      </c>
      <c r="J48" t="s">
        <v>39</v>
      </c>
      <c r="K48" t="s">
        <v>134</v>
      </c>
      <c r="L48" t="s">
        <v>198</v>
      </c>
      <c r="M48" t="s">
        <v>55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91</v>
      </c>
      <c r="U48" t="s">
        <v>92</v>
      </c>
      <c r="V48">
        <f t="shared" si="0"/>
        <v>16110.8325</v>
      </c>
      <c r="W48">
        <f t="shared" si="1"/>
        <v>5430.8024999999998</v>
      </c>
      <c r="X48">
        <f t="shared" si="2"/>
        <v>33.709012243780698</v>
      </c>
      <c r="Y48">
        <f t="shared" si="4"/>
        <v>0</v>
      </c>
      <c r="Z48" t="str" cm="1">
        <f t="array" ref="Z48">_xlfn.IFS(Y48&lt;0, "Invalid Date", ISBLANK(G48), "Missing Region", TRUE, "Clean")</f>
        <v>Clean</v>
      </c>
    </row>
    <row r="49" spans="1:26">
      <c r="A49" t="s">
        <v>199</v>
      </c>
      <c r="B49" s="4">
        <v>45634</v>
      </c>
      <c r="C49" s="6">
        <v>45634</v>
      </c>
      <c r="D49" t="s">
        <v>1999</v>
      </c>
      <c r="E49" t="s">
        <v>103</v>
      </c>
      <c r="F49" t="s">
        <v>81</v>
      </c>
      <c r="G49" t="s">
        <v>50</v>
      </c>
      <c r="H49" t="s">
        <v>200</v>
      </c>
      <c r="I49" t="s">
        <v>201</v>
      </c>
      <c r="J49" t="s">
        <v>27</v>
      </c>
      <c r="K49" t="s">
        <v>108</v>
      </c>
      <c r="L49" t="s">
        <v>202</v>
      </c>
      <c r="M49" t="s">
        <v>55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31</v>
      </c>
      <c r="U49" t="s">
        <v>32</v>
      </c>
      <c r="V49">
        <f t="shared" si="0"/>
        <v>17606.232</v>
      </c>
      <c r="W49">
        <f t="shared" si="1"/>
        <v>5167.2720000000008</v>
      </c>
      <c r="X49">
        <f t="shared" si="2"/>
        <v>29.349107747756591</v>
      </c>
      <c r="Y49">
        <f t="shared" si="4"/>
        <v>0</v>
      </c>
      <c r="Z49" t="str" cm="1">
        <f t="array" ref="Z49">_xlfn.IFS(Y49&lt;0, "Invalid Date", ISBLANK(G49), "Missing Region", TRUE, "Clean")</f>
        <v>Clean</v>
      </c>
    </row>
    <row r="50" spans="1:26">
      <c r="A50" t="s">
        <v>203</v>
      </c>
      <c r="B50" s="4">
        <v>45687</v>
      </c>
      <c r="C50" s="6">
        <v>45779</v>
      </c>
      <c r="D50" t="s">
        <v>2000</v>
      </c>
      <c r="E50" t="s">
        <v>72</v>
      </c>
      <c r="F50" t="s">
        <v>81</v>
      </c>
      <c r="G50" t="s">
        <v>58</v>
      </c>
      <c r="H50" t="s">
        <v>59</v>
      </c>
      <c r="I50" t="s">
        <v>60</v>
      </c>
      <c r="J50" t="s">
        <v>39</v>
      </c>
      <c r="K50" t="s">
        <v>61</v>
      </c>
      <c r="L50" t="s">
        <v>204</v>
      </c>
      <c r="M50" t="s">
        <v>30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31</v>
      </c>
      <c r="U50" t="s">
        <v>32</v>
      </c>
      <c r="V50">
        <f t="shared" si="0"/>
        <v>28445.62</v>
      </c>
      <c r="W50">
        <f t="shared" si="1"/>
        <v>7507.0299999999988</v>
      </c>
      <c r="X50">
        <f t="shared" si="2"/>
        <v>26.390811660986817</v>
      </c>
      <c r="Y50">
        <f t="shared" si="4"/>
        <v>92</v>
      </c>
      <c r="Z50" t="str" cm="1">
        <f t="array" ref="Z50">_xlfn.IFS(Y50&lt;0, "Invalid Date", ISBLANK(G50), "Missing Region", TRUE, "Clean")</f>
        <v>Clean</v>
      </c>
    </row>
    <row r="51" spans="1:26">
      <c r="A51" t="s">
        <v>205</v>
      </c>
      <c r="B51" s="4">
        <v>45447</v>
      </c>
      <c r="C51" s="6">
        <v>45395</v>
      </c>
      <c r="D51" t="s">
        <v>2001</v>
      </c>
      <c r="E51" t="s">
        <v>111</v>
      </c>
      <c r="F51" t="s">
        <v>85</v>
      </c>
      <c r="G51" t="s">
        <v>24</v>
      </c>
      <c r="H51" t="s">
        <v>117</v>
      </c>
      <c r="I51" t="s">
        <v>118</v>
      </c>
      <c r="J51" t="s">
        <v>68</v>
      </c>
      <c r="K51" t="s">
        <v>73</v>
      </c>
      <c r="L51" t="s">
        <v>206</v>
      </c>
      <c r="M51" t="s">
        <v>30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31</v>
      </c>
      <c r="U51" t="s">
        <v>32</v>
      </c>
      <c r="V51">
        <f t="shared" si="0"/>
        <v>6772.5404999999992</v>
      </c>
      <c r="W51">
        <f t="shared" si="1"/>
        <v>1017.0804999999991</v>
      </c>
      <c r="X51">
        <f t="shared" si="2"/>
        <v>15.01771011926764</v>
      </c>
      <c r="Y51">
        <f t="shared" si="4"/>
        <v>-52</v>
      </c>
      <c r="Z51" t="str" cm="1">
        <f t="array" ref="Z51">_xlfn.IFS(Y51&lt;0, "Invalid Date", ISBLANK(G51), "Missing Region", TRUE, "Clean")</f>
        <v>Invalid Date</v>
      </c>
    </row>
    <row r="52" spans="1:26">
      <c r="A52" t="s">
        <v>207</v>
      </c>
      <c r="B52" s="4">
        <v>45788</v>
      </c>
      <c r="C52" s="6">
        <v>45796</v>
      </c>
      <c r="D52" t="s">
        <v>2002</v>
      </c>
      <c r="E52" t="s">
        <v>114</v>
      </c>
      <c r="F52" t="s">
        <v>23</v>
      </c>
      <c r="G52" t="s">
        <v>36</v>
      </c>
      <c r="H52" t="s">
        <v>88</v>
      </c>
      <c r="I52" t="s">
        <v>89</v>
      </c>
      <c r="J52" t="s">
        <v>68</v>
      </c>
      <c r="K52" t="s">
        <v>73</v>
      </c>
      <c r="L52" t="s">
        <v>208</v>
      </c>
      <c r="M52" t="s">
        <v>55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31</v>
      </c>
      <c r="U52" t="s">
        <v>32</v>
      </c>
      <c r="V52">
        <f t="shared" si="0"/>
        <v>2025.38</v>
      </c>
      <c r="W52">
        <f t="shared" si="1"/>
        <v>884.73</v>
      </c>
      <c r="X52">
        <f t="shared" si="2"/>
        <v>43.682173221815162</v>
      </c>
      <c r="Y52">
        <f t="shared" si="4"/>
        <v>8</v>
      </c>
      <c r="Z52" t="str" cm="1">
        <f t="array" ref="Z52">_xlfn.IFS(Y52&lt;0, "Invalid Date", ISBLANK(G52), "Missing Region", TRUE, "Clean")</f>
        <v>Clean</v>
      </c>
    </row>
    <row r="53" spans="1:26">
      <c r="A53" t="s">
        <v>209</v>
      </c>
      <c r="B53" s="4">
        <v>45406</v>
      </c>
      <c r="C53" s="6">
        <v>45411</v>
      </c>
      <c r="D53" t="s">
        <v>2003</v>
      </c>
      <c r="E53" t="s">
        <v>57</v>
      </c>
      <c r="F53" t="s">
        <v>81</v>
      </c>
      <c r="G53" t="s">
        <v>50</v>
      </c>
      <c r="H53" t="s">
        <v>51</v>
      </c>
      <c r="I53" t="s">
        <v>52</v>
      </c>
      <c r="J53" t="s">
        <v>27</v>
      </c>
      <c r="K53" t="s">
        <v>45</v>
      </c>
      <c r="L53" t="s">
        <v>210</v>
      </c>
      <c r="M53" t="s">
        <v>55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31</v>
      </c>
      <c r="U53" t="s">
        <v>32</v>
      </c>
      <c r="V53">
        <f t="shared" si="0"/>
        <v>9168.48</v>
      </c>
      <c r="W53">
        <f t="shared" si="1"/>
        <v>1728.7099999999991</v>
      </c>
      <c r="X53">
        <f t="shared" si="2"/>
        <v>18.854924698532354</v>
      </c>
      <c r="Y53">
        <f t="shared" si="4"/>
        <v>5</v>
      </c>
      <c r="Z53" t="str" cm="1">
        <f t="array" ref="Z53">_xlfn.IFS(Y53&lt;0, "Invalid Date", ISBLANK(G53), "Missing Region", TRUE, "Clean")</f>
        <v>Clean</v>
      </c>
    </row>
    <row r="54" spans="1:26">
      <c r="A54" t="s">
        <v>211</v>
      </c>
      <c r="B54" s="4">
        <v>45591</v>
      </c>
      <c r="C54" s="6">
        <v>45593</v>
      </c>
      <c r="D54" t="s">
        <v>2004</v>
      </c>
      <c r="E54" t="s">
        <v>212</v>
      </c>
      <c r="F54" t="s">
        <v>35</v>
      </c>
      <c r="G54" t="s">
        <v>24</v>
      </c>
      <c r="H54" t="s">
        <v>25</v>
      </c>
      <c r="I54" t="s">
        <v>26</v>
      </c>
      <c r="J54" t="s">
        <v>39</v>
      </c>
      <c r="K54" t="s">
        <v>61</v>
      </c>
      <c r="L54" t="s">
        <v>213</v>
      </c>
      <c r="M54" t="s">
        <v>47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132</v>
      </c>
      <c r="U54" t="s">
        <v>63</v>
      </c>
      <c r="V54">
        <f t="shared" si="0"/>
        <v>12596.670000000002</v>
      </c>
      <c r="W54">
        <f t="shared" si="1"/>
        <v>1993.380000000001</v>
      </c>
      <c r="X54">
        <f t="shared" si="2"/>
        <v>15.824658421630483</v>
      </c>
      <c r="Y54">
        <f t="shared" si="4"/>
        <v>2</v>
      </c>
      <c r="Z54" t="str" cm="1">
        <f t="array" ref="Z54">_xlfn.IFS(Y54&lt;0, "Invalid Date", ISBLANK(G54), "Missing Region", TRUE, "Clean")</f>
        <v>Clean</v>
      </c>
    </row>
    <row r="55" spans="1:26">
      <c r="A55" t="s">
        <v>214</v>
      </c>
      <c r="B55" s="4">
        <v>45747</v>
      </c>
      <c r="C55" s="6">
        <v>45747</v>
      </c>
      <c r="D55" t="s">
        <v>2005</v>
      </c>
      <c r="E55" t="s">
        <v>212</v>
      </c>
      <c r="F55" t="s">
        <v>85</v>
      </c>
      <c r="G55" t="s">
        <v>58</v>
      </c>
      <c r="H55" t="s">
        <v>151</v>
      </c>
      <c r="I55" t="s">
        <v>152</v>
      </c>
      <c r="J55" t="s">
        <v>27</v>
      </c>
      <c r="K55" t="s">
        <v>108</v>
      </c>
      <c r="L55" t="s">
        <v>215</v>
      </c>
      <c r="M55" t="s">
        <v>47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31</v>
      </c>
      <c r="U55" t="s">
        <v>32</v>
      </c>
      <c r="V55">
        <f t="shared" si="0"/>
        <v>5131.7475000000004</v>
      </c>
      <c r="W55">
        <f t="shared" si="1"/>
        <v>2293.0675000000006</v>
      </c>
      <c r="X55">
        <f t="shared" si="2"/>
        <v>44.683950252813496</v>
      </c>
      <c r="Y55">
        <f t="shared" si="4"/>
        <v>0</v>
      </c>
      <c r="Z55" t="str" cm="1">
        <f t="array" ref="Z55">_xlfn.IFS(Y55&lt;0, "Invalid Date", ISBLANK(G55), "Missing Region", TRUE, "Clean")</f>
        <v>Clean</v>
      </c>
    </row>
    <row r="56" spans="1:26">
      <c r="A56" t="s">
        <v>216</v>
      </c>
      <c r="B56" s="4">
        <v>45807</v>
      </c>
      <c r="C56" s="6">
        <v>45694</v>
      </c>
      <c r="D56" t="s">
        <v>2006</v>
      </c>
      <c r="E56" t="s">
        <v>49</v>
      </c>
      <c r="F56" t="s">
        <v>81</v>
      </c>
      <c r="G56" t="s">
        <v>50</v>
      </c>
      <c r="H56" t="s">
        <v>200</v>
      </c>
      <c r="I56" t="s">
        <v>201</v>
      </c>
      <c r="J56" t="s">
        <v>27</v>
      </c>
      <c r="K56" t="s">
        <v>82</v>
      </c>
      <c r="L56" t="s">
        <v>217</v>
      </c>
      <c r="M56" t="s">
        <v>42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132</v>
      </c>
      <c r="U56" t="s">
        <v>63</v>
      </c>
      <c r="V56">
        <f t="shared" si="0"/>
        <v>3415.4639999999999</v>
      </c>
      <c r="W56">
        <f t="shared" si="1"/>
        <v>1422.2339999999999</v>
      </c>
      <c r="X56">
        <f t="shared" si="2"/>
        <v>41.641018614161936</v>
      </c>
      <c r="Y56">
        <f t="shared" si="4"/>
        <v>-113</v>
      </c>
      <c r="Z56" t="str" cm="1">
        <f t="array" ref="Z56">_xlfn.IFS(Y56&lt;0, "Invalid Date", ISBLANK(G56), "Missing Region", TRUE, "Clean")</f>
        <v>Invalid Date</v>
      </c>
    </row>
    <row r="57" spans="1:26">
      <c r="A57" t="s">
        <v>218</v>
      </c>
      <c r="B57" s="4">
        <v>45664</v>
      </c>
      <c r="C57" s="6">
        <v>45723</v>
      </c>
      <c r="D57" t="s">
        <v>2007</v>
      </c>
      <c r="E57" t="s">
        <v>34</v>
      </c>
      <c r="F57" t="s">
        <v>35</v>
      </c>
      <c r="G57" t="s">
        <v>50</v>
      </c>
      <c r="H57" t="s">
        <v>76</v>
      </c>
      <c r="I57" t="s">
        <v>77</v>
      </c>
      <c r="J57" t="s">
        <v>68</v>
      </c>
      <c r="K57" t="s">
        <v>219</v>
      </c>
      <c r="L57" t="s">
        <v>220</v>
      </c>
      <c r="M57" t="s">
        <v>42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31</v>
      </c>
      <c r="U57" t="s">
        <v>32</v>
      </c>
      <c r="V57">
        <f t="shared" si="0"/>
        <v>3411.54</v>
      </c>
      <c r="W57">
        <f t="shared" si="1"/>
        <v>608.40999999999985</v>
      </c>
      <c r="X57">
        <f t="shared" si="2"/>
        <v>17.83388147288321</v>
      </c>
      <c r="Y57">
        <f t="shared" si="4"/>
        <v>59</v>
      </c>
      <c r="Z57" t="str" cm="1">
        <f t="array" ref="Z57">_xlfn.IFS(Y57&lt;0, "Invalid Date", ISBLANK(G57), "Missing Region", TRUE, "Clean")</f>
        <v>Clean</v>
      </c>
    </row>
    <row r="58" spans="1:26">
      <c r="A58" t="s">
        <v>221</v>
      </c>
      <c r="B58" s="4">
        <v>45778</v>
      </c>
      <c r="C58" s="6">
        <v>45809</v>
      </c>
      <c r="D58" t="s">
        <v>2008</v>
      </c>
      <c r="E58" t="s">
        <v>22</v>
      </c>
      <c r="F58" t="s">
        <v>23</v>
      </c>
      <c r="G58" t="s">
        <v>50</v>
      </c>
      <c r="H58" t="s">
        <v>147</v>
      </c>
      <c r="I58" t="s">
        <v>148</v>
      </c>
      <c r="J58" t="s">
        <v>27</v>
      </c>
      <c r="K58" t="s">
        <v>130</v>
      </c>
      <c r="L58" t="s">
        <v>222</v>
      </c>
      <c r="M58" t="s">
        <v>30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91</v>
      </c>
      <c r="U58" t="s">
        <v>63</v>
      </c>
      <c r="V58">
        <f t="shared" si="0"/>
        <v>9466.83</v>
      </c>
      <c r="W58">
        <f t="shared" si="1"/>
        <v>2909</v>
      </c>
      <c r="X58">
        <f t="shared" si="2"/>
        <v>30.728343067320317</v>
      </c>
      <c r="Y58">
        <f t="shared" si="4"/>
        <v>31</v>
      </c>
      <c r="Z58" t="str" cm="1">
        <f t="array" ref="Z58">_xlfn.IFS(Y58&lt;0, "Invalid Date", ISBLANK(G58), "Missing Region", TRUE, "Clean")</f>
        <v>Clean</v>
      </c>
    </row>
    <row r="59" spans="1:26">
      <c r="A59" t="s">
        <v>223</v>
      </c>
      <c r="B59" s="4">
        <v>45475</v>
      </c>
      <c r="C59" s="6">
        <v>45337</v>
      </c>
      <c r="D59" t="s">
        <v>2009</v>
      </c>
      <c r="E59" t="s">
        <v>100</v>
      </c>
      <c r="F59" t="s">
        <v>23</v>
      </c>
      <c r="G59" t="s">
        <v>58</v>
      </c>
      <c r="H59" t="s">
        <v>159</v>
      </c>
      <c r="I59" t="s">
        <v>160</v>
      </c>
      <c r="J59" t="s">
        <v>39</v>
      </c>
      <c r="K59" t="s">
        <v>61</v>
      </c>
      <c r="L59" t="s">
        <v>224</v>
      </c>
      <c r="M59" t="s">
        <v>42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31</v>
      </c>
      <c r="U59" t="s">
        <v>32</v>
      </c>
      <c r="V59">
        <f t="shared" si="0"/>
        <v>1279.3499999999999</v>
      </c>
      <c r="W59">
        <f t="shared" si="1"/>
        <v>187.80999999999995</v>
      </c>
      <c r="X59">
        <f t="shared" si="2"/>
        <v>14.680110993864067</v>
      </c>
      <c r="Y59">
        <f t="shared" si="4"/>
        <v>-138</v>
      </c>
      <c r="Z59" t="str" cm="1">
        <f t="array" ref="Z59">_xlfn.IFS(Y59&lt;0, "Invalid Date", ISBLANK(G59), "Missing Region", TRUE, "Clean")</f>
        <v>Invalid Date</v>
      </c>
    </row>
    <row r="60" spans="1:26">
      <c r="A60" t="s">
        <v>225</v>
      </c>
      <c r="B60" s="4">
        <v>45300</v>
      </c>
      <c r="C60" s="6">
        <v>45482</v>
      </c>
      <c r="D60" t="s">
        <v>2010</v>
      </c>
      <c r="E60" t="s">
        <v>44</v>
      </c>
      <c r="F60" t="s">
        <v>85</v>
      </c>
      <c r="G60" t="s">
        <v>24</v>
      </c>
      <c r="H60" t="s">
        <v>25</v>
      </c>
      <c r="I60" t="s">
        <v>26</v>
      </c>
      <c r="J60" t="s">
        <v>27</v>
      </c>
      <c r="K60" t="s">
        <v>108</v>
      </c>
      <c r="L60" t="s">
        <v>226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98</v>
      </c>
      <c r="U60" t="s">
        <v>92</v>
      </c>
      <c r="V60">
        <f t="shared" si="0"/>
        <v>11254.788</v>
      </c>
      <c r="W60">
        <f t="shared" si="1"/>
        <v>4676.7280000000001</v>
      </c>
      <c r="X60">
        <f t="shared" si="2"/>
        <v>41.553230500654479</v>
      </c>
      <c r="Y60">
        <f t="shared" si="4"/>
        <v>182</v>
      </c>
      <c r="Z60" t="str" cm="1">
        <f t="array" ref="Z60">_xlfn.IFS(Y60&lt;0, "Invalid Date", ISBLANK(G60), "Missing Region", TRUE, "Clean")</f>
        <v>Clean</v>
      </c>
    </row>
    <row r="61" spans="1:26">
      <c r="A61" t="s">
        <v>227</v>
      </c>
      <c r="B61" s="4">
        <v>45493</v>
      </c>
      <c r="C61" s="6">
        <v>45498</v>
      </c>
      <c r="D61" t="s">
        <v>2011</v>
      </c>
      <c r="E61" t="s">
        <v>100</v>
      </c>
      <c r="F61" t="s">
        <v>81</v>
      </c>
      <c r="G61" t="s">
        <v>36</v>
      </c>
      <c r="H61" t="s">
        <v>140</v>
      </c>
      <c r="I61" t="s">
        <v>141</v>
      </c>
      <c r="J61" t="s">
        <v>27</v>
      </c>
      <c r="K61" t="s">
        <v>82</v>
      </c>
      <c r="L61" t="s">
        <v>228</v>
      </c>
      <c r="M61" t="s">
        <v>42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31</v>
      </c>
      <c r="U61" t="s">
        <v>63</v>
      </c>
      <c r="V61">
        <f t="shared" si="0"/>
        <v>16535.400000000001</v>
      </c>
      <c r="W61">
        <f t="shared" si="1"/>
        <v>3545.1900000000023</v>
      </c>
      <c r="X61">
        <f t="shared" si="2"/>
        <v>21.440001451431488</v>
      </c>
      <c r="Y61">
        <f t="shared" si="4"/>
        <v>5</v>
      </c>
      <c r="Z61" t="str" cm="1">
        <f t="array" ref="Z61">_xlfn.IFS(Y61&lt;0, "Invalid Date", ISBLANK(G61), "Missing Region", TRUE, "Clean")</f>
        <v>Clean</v>
      </c>
    </row>
    <row r="62" spans="1:26">
      <c r="A62" t="s">
        <v>229</v>
      </c>
      <c r="B62" s="4">
        <v>45486</v>
      </c>
      <c r="C62" s="6">
        <v>45492</v>
      </c>
      <c r="D62" t="s">
        <v>2012</v>
      </c>
      <c r="E62" t="s">
        <v>57</v>
      </c>
      <c r="F62" t="s">
        <v>81</v>
      </c>
      <c r="G62" t="s">
        <v>36</v>
      </c>
      <c r="H62" t="s">
        <v>140</v>
      </c>
      <c r="I62" t="s">
        <v>141</v>
      </c>
      <c r="J62" t="s">
        <v>27</v>
      </c>
      <c r="K62" t="s">
        <v>82</v>
      </c>
      <c r="L62" t="s">
        <v>230</v>
      </c>
      <c r="M62" t="s">
        <v>42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91</v>
      </c>
      <c r="U62" t="s">
        <v>63</v>
      </c>
      <c r="V62">
        <f t="shared" si="0"/>
        <v>661.82400000000007</v>
      </c>
      <c r="W62">
        <f t="shared" si="1"/>
        <v>180.35400000000004</v>
      </c>
      <c r="X62">
        <f t="shared" si="2"/>
        <v>27.251051639106471</v>
      </c>
      <c r="Y62">
        <f t="shared" si="4"/>
        <v>6</v>
      </c>
      <c r="Z62" t="str" cm="1">
        <f t="array" ref="Z62">_xlfn.IFS(Y62&lt;0, "Invalid Date", ISBLANK(G62), "Missing Region", TRUE, "Clean")</f>
        <v>Clean</v>
      </c>
    </row>
    <row r="63" spans="1:26">
      <c r="A63" t="s">
        <v>231</v>
      </c>
      <c r="B63" s="4">
        <v>45398</v>
      </c>
      <c r="C63" s="6">
        <v>45398</v>
      </c>
      <c r="D63" t="s">
        <v>2013</v>
      </c>
      <c r="E63" t="s">
        <v>65</v>
      </c>
      <c r="F63" t="s">
        <v>85</v>
      </c>
      <c r="G63" t="s">
        <v>36</v>
      </c>
      <c r="H63" t="s">
        <v>124</v>
      </c>
      <c r="I63" t="s">
        <v>125</v>
      </c>
      <c r="J63" t="s">
        <v>39</v>
      </c>
      <c r="K63" t="s">
        <v>134</v>
      </c>
      <c r="L63" t="s">
        <v>232</v>
      </c>
      <c r="M63" t="s">
        <v>55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31</v>
      </c>
      <c r="U63" t="s">
        <v>32</v>
      </c>
      <c r="V63">
        <f t="shared" si="0"/>
        <v>949.59</v>
      </c>
      <c r="W63">
        <f t="shared" si="1"/>
        <v>198.34000000000003</v>
      </c>
      <c r="X63">
        <f t="shared" si="2"/>
        <v>20.88690908707969</v>
      </c>
      <c r="Y63">
        <f t="shared" si="4"/>
        <v>0</v>
      </c>
      <c r="Z63" t="str" cm="1">
        <f t="array" ref="Z63">_xlfn.IFS(Y63&lt;0, "Invalid Date", ISBLANK(G63), "Missing Region", TRUE, "Clean")</f>
        <v>Clean</v>
      </c>
    </row>
    <row r="64" spans="1:26">
      <c r="A64" t="s">
        <v>233</v>
      </c>
      <c r="B64" s="4">
        <v>45595</v>
      </c>
      <c r="C64" s="6">
        <v>45333</v>
      </c>
      <c r="D64" t="s">
        <v>2014</v>
      </c>
      <c r="E64" t="s">
        <v>114</v>
      </c>
      <c r="F64" t="s">
        <v>85</v>
      </c>
      <c r="G64" t="s">
        <v>24</v>
      </c>
      <c r="H64" t="s">
        <v>25</v>
      </c>
      <c r="I64" t="s">
        <v>26</v>
      </c>
      <c r="J64" t="s">
        <v>68</v>
      </c>
      <c r="K64" t="s">
        <v>144</v>
      </c>
      <c r="L64" t="s">
        <v>234</v>
      </c>
      <c r="M64" t="s">
        <v>55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31</v>
      </c>
      <c r="U64" t="s">
        <v>32</v>
      </c>
      <c r="V64">
        <f t="shared" si="0"/>
        <v>21904.488000000001</v>
      </c>
      <c r="W64">
        <f t="shared" si="1"/>
        <v>8333.9380000000019</v>
      </c>
      <c r="X64">
        <f t="shared" si="2"/>
        <v>38.046714445003246</v>
      </c>
      <c r="Y64">
        <f t="shared" si="4"/>
        <v>-262</v>
      </c>
      <c r="Z64" t="str" cm="1">
        <f t="array" ref="Z64">_xlfn.IFS(Y64&lt;0, "Invalid Date", ISBLANK(G64), "Missing Region", TRUE, "Clean")</f>
        <v>Invalid Date</v>
      </c>
    </row>
    <row r="65" spans="1:26">
      <c r="A65" t="s">
        <v>235</v>
      </c>
      <c r="B65" s="4">
        <v>45316</v>
      </c>
      <c r="C65" s="6">
        <v>45293</v>
      </c>
      <c r="D65" t="s">
        <v>2015</v>
      </c>
      <c r="E65" t="s">
        <v>114</v>
      </c>
      <c r="F65" t="s">
        <v>85</v>
      </c>
      <c r="G65" t="s">
        <v>24</v>
      </c>
      <c r="H65" t="s">
        <v>192</v>
      </c>
      <c r="I65" t="s">
        <v>193</v>
      </c>
      <c r="J65" t="s">
        <v>27</v>
      </c>
      <c r="K65" t="s">
        <v>130</v>
      </c>
      <c r="L65" t="s">
        <v>236</v>
      </c>
      <c r="M65" t="s">
        <v>42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31</v>
      </c>
      <c r="U65" t="s">
        <v>32</v>
      </c>
      <c r="V65">
        <f t="shared" si="0"/>
        <v>4815.7089999999998</v>
      </c>
      <c r="W65">
        <f t="shared" si="1"/>
        <v>1787.9589999999998</v>
      </c>
      <c r="X65">
        <f t="shared" si="2"/>
        <v>37.127637903369994</v>
      </c>
      <c r="Y65">
        <f t="shared" si="4"/>
        <v>-23</v>
      </c>
      <c r="Z65" t="str" cm="1">
        <f t="array" ref="Z65">_xlfn.IFS(Y65&lt;0, "Invalid Date", ISBLANK(G65), "Missing Region", TRUE, "Clean")</f>
        <v>Invalid Date</v>
      </c>
    </row>
    <row r="66" spans="1:26">
      <c r="A66" t="s">
        <v>237</v>
      </c>
      <c r="B66" s="4">
        <v>45649</v>
      </c>
      <c r="C66" s="6">
        <v>45655</v>
      </c>
      <c r="D66" t="s">
        <v>2016</v>
      </c>
      <c r="E66" t="s">
        <v>111</v>
      </c>
      <c r="F66" t="s">
        <v>81</v>
      </c>
      <c r="G66" t="s">
        <v>36</v>
      </c>
      <c r="H66" t="s">
        <v>186</v>
      </c>
      <c r="I66" t="s">
        <v>187</v>
      </c>
      <c r="J66" t="s">
        <v>27</v>
      </c>
      <c r="K66" t="s">
        <v>28</v>
      </c>
      <c r="L66" t="s">
        <v>238</v>
      </c>
      <c r="M66" t="s">
        <v>47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91</v>
      </c>
      <c r="U66" t="s">
        <v>92</v>
      </c>
      <c r="V66">
        <f t="shared" si="0"/>
        <v>3134.8799999999997</v>
      </c>
      <c r="W66">
        <f t="shared" si="1"/>
        <v>767.24999999999955</v>
      </c>
      <c r="X66">
        <f t="shared" si="2"/>
        <v>24.47462103812585</v>
      </c>
      <c r="Y66">
        <f t="shared" si="4"/>
        <v>6</v>
      </c>
      <c r="Z66" t="str" cm="1">
        <f t="array" ref="Z66">_xlfn.IFS(Y66&lt;0, "Invalid Date", ISBLANK(G66), "Missing Region", TRUE, "Clean")</f>
        <v>Clean</v>
      </c>
    </row>
    <row r="67" spans="1:26">
      <c r="A67" t="s">
        <v>239</v>
      </c>
      <c r="B67" s="4">
        <v>45404</v>
      </c>
      <c r="C67" s="6">
        <v>45409</v>
      </c>
      <c r="D67" t="s">
        <v>2017</v>
      </c>
      <c r="E67" t="s">
        <v>34</v>
      </c>
      <c r="F67" t="s">
        <v>85</v>
      </c>
      <c r="G67" t="s">
        <v>58</v>
      </c>
      <c r="H67" t="s">
        <v>59</v>
      </c>
      <c r="I67" t="s">
        <v>60</v>
      </c>
      <c r="J67" t="s">
        <v>27</v>
      </c>
      <c r="K67" t="s">
        <v>28</v>
      </c>
      <c r="L67" t="s">
        <v>240</v>
      </c>
      <c r="M67" t="s">
        <v>30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31</v>
      </c>
      <c r="U67" t="s">
        <v>32</v>
      </c>
      <c r="V67">
        <f t="shared" ref="V67:V130" si="5">N67*O67*(1- P67)</f>
        <v>4066.1804999999995</v>
      </c>
      <c r="W67">
        <f t="shared" ref="W67:W130" si="6">V67-R67</f>
        <v>1437.2604999999994</v>
      </c>
      <c r="X67">
        <f t="shared" ref="X67:X130" si="7">W67/V67*100</f>
        <v>35.346696980126673</v>
      </c>
      <c r="Y67">
        <f t="shared" si="4"/>
        <v>5</v>
      </c>
      <c r="Z67" t="str" cm="1">
        <f t="array" ref="Z67">_xlfn.IFS(Y67&lt;0, "Invalid Date", ISBLANK(G67), "Missing Region", TRUE, "Clean")</f>
        <v>Clean</v>
      </c>
    </row>
    <row r="68" spans="1:26">
      <c r="A68" t="s">
        <v>241</v>
      </c>
      <c r="B68" s="4">
        <v>45897</v>
      </c>
      <c r="C68" s="6">
        <v>45666</v>
      </c>
      <c r="D68" t="s">
        <v>2018</v>
      </c>
      <c r="E68" t="s">
        <v>22</v>
      </c>
      <c r="F68" t="s">
        <v>35</v>
      </c>
      <c r="G68" t="s">
        <v>50</v>
      </c>
      <c r="H68" t="s">
        <v>200</v>
      </c>
      <c r="I68" t="s">
        <v>201</v>
      </c>
      <c r="J68" t="s">
        <v>68</v>
      </c>
      <c r="K68" t="s">
        <v>69</v>
      </c>
      <c r="L68" t="s">
        <v>242</v>
      </c>
      <c r="M68" t="s">
        <v>42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31</v>
      </c>
      <c r="U68" t="s">
        <v>32</v>
      </c>
      <c r="V68">
        <f t="shared" si="5"/>
        <v>7032.1089999999995</v>
      </c>
      <c r="W68">
        <f t="shared" si="6"/>
        <v>2421.7689999999993</v>
      </c>
      <c r="X68">
        <f t="shared" si="7"/>
        <v>34.438729547565309</v>
      </c>
      <c r="Y68">
        <f t="shared" si="4"/>
        <v>-231</v>
      </c>
      <c r="Z68" t="str" cm="1">
        <f t="array" ref="Z68">_xlfn.IFS(Y68&lt;0, "Invalid Date", ISBLANK(G68), "Missing Region", TRUE, "Clean")</f>
        <v>Invalid Date</v>
      </c>
    </row>
    <row r="69" spans="1:26">
      <c r="A69" t="s">
        <v>243</v>
      </c>
      <c r="B69" s="4">
        <v>45718</v>
      </c>
      <c r="C69" s="6">
        <v>45840</v>
      </c>
      <c r="D69" t="s">
        <v>2019</v>
      </c>
      <c r="E69" t="s">
        <v>212</v>
      </c>
      <c r="F69" t="s">
        <v>23</v>
      </c>
      <c r="G69" t="s">
        <v>24</v>
      </c>
      <c r="H69" t="s">
        <v>192</v>
      </c>
      <c r="I69" t="s">
        <v>193</v>
      </c>
      <c r="J69" t="s">
        <v>27</v>
      </c>
      <c r="K69" t="s">
        <v>28</v>
      </c>
      <c r="L69" t="s">
        <v>244</v>
      </c>
      <c r="M69" t="s">
        <v>47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31</v>
      </c>
      <c r="U69" t="s">
        <v>32</v>
      </c>
      <c r="V69">
        <f t="shared" si="5"/>
        <v>24002.111000000001</v>
      </c>
      <c r="W69">
        <f t="shared" si="6"/>
        <v>5294.5410000000011</v>
      </c>
      <c r="X69">
        <f t="shared" si="7"/>
        <v>22.058647258151591</v>
      </c>
      <c r="Y69">
        <f t="shared" si="4"/>
        <v>122</v>
      </c>
      <c r="Z69" t="str" cm="1">
        <f t="array" ref="Z69">_xlfn.IFS(Y69&lt;0, "Invalid Date", ISBLANK(G69), "Missing Region", TRUE, "Clean")</f>
        <v>Clean</v>
      </c>
    </row>
    <row r="70" spans="1:26">
      <c r="A70" t="s">
        <v>245</v>
      </c>
      <c r="B70" s="4">
        <v>45606</v>
      </c>
      <c r="C70" s="6">
        <v>45609</v>
      </c>
      <c r="D70" t="s">
        <v>2020</v>
      </c>
      <c r="E70" t="s">
        <v>44</v>
      </c>
      <c r="F70" t="s">
        <v>81</v>
      </c>
      <c r="G70" t="s">
        <v>36</v>
      </c>
      <c r="H70" t="s">
        <v>186</v>
      </c>
      <c r="I70" t="s">
        <v>187</v>
      </c>
      <c r="J70" t="s">
        <v>27</v>
      </c>
      <c r="K70" t="s">
        <v>108</v>
      </c>
      <c r="L70" t="s">
        <v>246</v>
      </c>
      <c r="M70" t="s">
        <v>30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132</v>
      </c>
      <c r="U70" t="s">
        <v>92</v>
      </c>
      <c r="V70">
        <f t="shared" si="5"/>
        <v>19900.079999999998</v>
      </c>
      <c r="W70">
        <f t="shared" si="6"/>
        <v>8937.4199999999983</v>
      </c>
      <c r="X70">
        <f t="shared" si="7"/>
        <v>44.911477742803044</v>
      </c>
      <c r="Y70">
        <f t="shared" si="4"/>
        <v>3</v>
      </c>
      <c r="Z70" t="str" cm="1">
        <f t="array" ref="Z70">_xlfn.IFS(Y70&lt;0, "Invalid Date", ISBLANK(G70), "Missing Region", TRUE, "Clean")</f>
        <v>Clean</v>
      </c>
    </row>
    <row r="71" spans="1:26">
      <c r="A71" t="s">
        <v>247</v>
      </c>
      <c r="B71" s="4">
        <v>45539</v>
      </c>
      <c r="C71" s="6">
        <v>45396</v>
      </c>
      <c r="D71" t="s">
        <v>2021</v>
      </c>
      <c r="E71" t="s">
        <v>72</v>
      </c>
      <c r="F71" t="s">
        <v>35</v>
      </c>
      <c r="G71" t="s">
        <v>58</v>
      </c>
      <c r="H71" t="s">
        <v>151</v>
      </c>
      <c r="I71" t="s">
        <v>152</v>
      </c>
      <c r="J71" t="s">
        <v>68</v>
      </c>
      <c r="K71" t="s">
        <v>219</v>
      </c>
      <c r="L71" t="s">
        <v>248</v>
      </c>
      <c r="M71" t="s">
        <v>42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91</v>
      </c>
      <c r="U71" t="s">
        <v>92</v>
      </c>
      <c r="V71">
        <f t="shared" si="5"/>
        <v>21527.667000000001</v>
      </c>
      <c r="W71">
        <f t="shared" si="6"/>
        <v>3240.0869999999995</v>
      </c>
      <c r="X71">
        <f t="shared" si="7"/>
        <v>15.050804158202554</v>
      </c>
      <c r="Y71">
        <f t="shared" ref="Y71:Y134" si="8">C71-B71</f>
        <v>-143</v>
      </c>
      <c r="Z71" t="str" cm="1">
        <f t="array" ref="Z71">_xlfn.IFS(Y71&lt;0, "Invalid Date", ISBLANK(G71), "Missing Region", TRUE, "Clean")</f>
        <v>Invalid Date</v>
      </c>
    </row>
    <row r="72" spans="1:26">
      <c r="A72" t="s">
        <v>249</v>
      </c>
      <c r="B72" s="4">
        <v>45891</v>
      </c>
      <c r="C72" s="6">
        <v>45896</v>
      </c>
      <c r="D72" t="s">
        <v>2022</v>
      </c>
      <c r="E72" t="s">
        <v>22</v>
      </c>
      <c r="F72" t="s">
        <v>81</v>
      </c>
      <c r="G72" t="s">
        <v>50</v>
      </c>
      <c r="H72" t="s">
        <v>76</v>
      </c>
      <c r="I72" t="s">
        <v>77</v>
      </c>
      <c r="J72" t="s">
        <v>68</v>
      </c>
      <c r="K72" t="s">
        <v>144</v>
      </c>
      <c r="L72" t="s">
        <v>250</v>
      </c>
      <c r="M72" t="s">
        <v>47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31</v>
      </c>
      <c r="U72" t="s">
        <v>32</v>
      </c>
      <c r="V72">
        <f t="shared" si="5"/>
        <v>1539.979</v>
      </c>
      <c r="W72">
        <f t="shared" si="6"/>
        <v>469.779</v>
      </c>
      <c r="X72">
        <f t="shared" si="7"/>
        <v>30.505545854846073</v>
      </c>
      <c r="Y72">
        <f t="shared" si="8"/>
        <v>5</v>
      </c>
      <c r="Z72" t="str" cm="1">
        <f t="array" ref="Z72">_xlfn.IFS(Y72&lt;0, "Invalid Date", ISBLANK(G72), "Missing Region", TRUE, "Clean")</f>
        <v>Clean</v>
      </c>
    </row>
    <row r="73" spans="1:26">
      <c r="A73" t="s">
        <v>251</v>
      </c>
      <c r="B73" s="4">
        <v>45763</v>
      </c>
      <c r="C73" s="6">
        <v>45770</v>
      </c>
      <c r="D73" t="s">
        <v>2023</v>
      </c>
      <c r="E73" t="s">
        <v>34</v>
      </c>
      <c r="F73" t="s">
        <v>35</v>
      </c>
      <c r="G73" t="s">
        <v>58</v>
      </c>
      <c r="H73" t="s">
        <v>159</v>
      </c>
      <c r="I73" t="s">
        <v>160</v>
      </c>
      <c r="J73" t="s">
        <v>68</v>
      </c>
      <c r="K73" t="s">
        <v>219</v>
      </c>
      <c r="L73" t="s">
        <v>252</v>
      </c>
      <c r="M73" t="s">
        <v>55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31</v>
      </c>
      <c r="U73" t="s">
        <v>32</v>
      </c>
      <c r="V73">
        <f t="shared" si="5"/>
        <v>10947.528</v>
      </c>
      <c r="W73">
        <f t="shared" si="6"/>
        <v>4500.1680000000006</v>
      </c>
      <c r="X73">
        <f t="shared" si="7"/>
        <v>41.106704636882412</v>
      </c>
      <c r="Y73">
        <f t="shared" si="8"/>
        <v>7</v>
      </c>
      <c r="Z73" t="str" cm="1">
        <f t="array" ref="Z73">_xlfn.IFS(Y73&lt;0, "Invalid Date", ISBLANK(G73), "Missing Region", TRUE, "Clean")</f>
        <v>Clean</v>
      </c>
    </row>
    <row r="74" spans="1:26">
      <c r="A74" t="s">
        <v>253</v>
      </c>
      <c r="B74" s="4">
        <v>45598</v>
      </c>
      <c r="C74" s="6">
        <v>45475</v>
      </c>
      <c r="D74" t="s">
        <v>2024</v>
      </c>
      <c r="E74" t="s">
        <v>22</v>
      </c>
      <c r="F74" t="s">
        <v>85</v>
      </c>
      <c r="G74" t="s">
        <v>50</v>
      </c>
      <c r="H74" t="s">
        <v>200</v>
      </c>
      <c r="I74" t="s">
        <v>201</v>
      </c>
      <c r="J74" t="s">
        <v>39</v>
      </c>
      <c r="K74" t="s">
        <v>40</v>
      </c>
      <c r="L74" t="s">
        <v>254</v>
      </c>
      <c r="M74" t="s">
        <v>47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31</v>
      </c>
      <c r="U74" t="s">
        <v>32</v>
      </c>
      <c r="V74">
        <f t="shared" si="5"/>
        <v>13610.446499999998</v>
      </c>
      <c r="W74">
        <f t="shared" si="6"/>
        <v>3571.3964999999989</v>
      </c>
      <c r="X74">
        <f t="shared" si="7"/>
        <v>26.240112695788486</v>
      </c>
      <c r="Y74">
        <f t="shared" si="8"/>
        <v>-123</v>
      </c>
      <c r="Z74" t="str" cm="1">
        <f t="array" ref="Z74">_xlfn.IFS(Y74&lt;0, "Invalid Date", ISBLANK(G74), "Missing Region", TRUE, "Clean")</f>
        <v>Invalid Date</v>
      </c>
    </row>
    <row r="75" spans="1:26">
      <c r="A75" t="s">
        <v>255</v>
      </c>
      <c r="B75" s="4">
        <v>45745</v>
      </c>
      <c r="C75" s="6">
        <v>45750</v>
      </c>
      <c r="D75" t="s">
        <v>2025</v>
      </c>
      <c r="E75" t="s">
        <v>114</v>
      </c>
      <c r="F75" t="s">
        <v>81</v>
      </c>
      <c r="G75" t="s">
        <v>36</v>
      </c>
      <c r="H75" t="s">
        <v>88</v>
      </c>
      <c r="I75" t="s">
        <v>89</v>
      </c>
      <c r="J75" t="s">
        <v>39</v>
      </c>
      <c r="K75" t="s">
        <v>134</v>
      </c>
      <c r="L75" t="s">
        <v>256</v>
      </c>
      <c r="M75" t="s">
        <v>47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31</v>
      </c>
      <c r="U75" t="s">
        <v>32</v>
      </c>
      <c r="V75">
        <f t="shared" si="5"/>
        <v>7128.7</v>
      </c>
      <c r="W75">
        <f t="shared" si="6"/>
        <v>2746.55</v>
      </c>
      <c r="X75">
        <f t="shared" si="7"/>
        <v>38.528062620113069</v>
      </c>
      <c r="Y75">
        <f t="shared" si="8"/>
        <v>5</v>
      </c>
      <c r="Z75" t="str" cm="1">
        <f t="array" ref="Z75">_xlfn.IFS(Y75&lt;0, "Invalid Date", ISBLANK(G75), "Missing Region", TRUE, "Clean")</f>
        <v>Clean</v>
      </c>
    </row>
    <row r="76" spans="1:26">
      <c r="A76" t="s">
        <v>257</v>
      </c>
      <c r="B76" s="4">
        <v>45715</v>
      </c>
      <c r="C76" s="6">
        <v>45660</v>
      </c>
      <c r="D76" t="s">
        <v>2026</v>
      </c>
      <c r="E76" t="s">
        <v>65</v>
      </c>
      <c r="F76" t="s">
        <v>35</v>
      </c>
      <c r="G76" t="s">
        <v>36</v>
      </c>
      <c r="H76" t="s">
        <v>88</v>
      </c>
      <c r="I76" t="s">
        <v>89</v>
      </c>
      <c r="J76" t="s">
        <v>39</v>
      </c>
      <c r="K76" t="s">
        <v>61</v>
      </c>
      <c r="L76" t="s">
        <v>258</v>
      </c>
      <c r="M76" t="s">
        <v>55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31</v>
      </c>
      <c r="U76" t="s">
        <v>32</v>
      </c>
      <c r="V76">
        <f t="shared" si="5"/>
        <v>3309.84</v>
      </c>
      <c r="W76">
        <f t="shared" si="6"/>
        <v>638.76000000000022</v>
      </c>
      <c r="X76">
        <f t="shared" si="7"/>
        <v>19.298818069755644</v>
      </c>
      <c r="Y76">
        <f t="shared" si="8"/>
        <v>-55</v>
      </c>
      <c r="Z76" t="str" cm="1">
        <f t="array" ref="Z76">_xlfn.IFS(Y76&lt;0, "Invalid Date", ISBLANK(G76), "Missing Region", TRUE, "Clean")</f>
        <v>Invalid Date</v>
      </c>
    </row>
    <row r="77" spans="1:26">
      <c r="A77" t="s">
        <v>259</v>
      </c>
      <c r="B77" s="4">
        <v>45891</v>
      </c>
      <c r="C77" s="6">
        <v>45896</v>
      </c>
      <c r="D77" t="s">
        <v>2027</v>
      </c>
      <c r="E77" t="s">
        <v>100</v>
      </c>
      <c r="F77" t="s">
        <v>35</v>
      </c>
      <c r="G77" t="s">
        <v>36</v>
      </c>
      <c r="H77" t="s">
        <v>37</v>
      </c>
      <c r="I77" t="s">
        <v>38</v>
      </c>
      <c r="J77" t="s">
        <v>27</v>
      </c>
      <c r="K77" t="s">
        <v>82</v>
      </c>
      <c r="L77" t="s">
        <v>260</v>
      </c>
      <c r="M77" t="s">
        <v>47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31</v>
      </c>
      <c r="U77" t="s">
        <v>32</v>
      </c>
      <c r="V77">
        <f t="shared" si="5"/>
        <v>7907.5680000000011</v>
      </c>
      <c r="W77">
        <f t="shared" si="6"/>
        <v>2516.3880000000008</v>
      </c>
      <c r="X77">
        <f t="shared" si="7"/>
        <v>31.822527482533197</v>
      </c>
      <c r="Y77">
        <f t="shared" si="8"/>
        <v>5</v>
      </c>
      <c r="Z77" t="str" cm="1">
        <f t="array" ref="Z77">_xlfn.IFS(Y77&lt;0, "Invalid Date", ISBLANK(G77), "Missing Region", TRUE, "Clean")</f>
        <v>Clean</v>
      </c>
    </row>
    <row r="78" spans="1:26">
      <c r="A78" t="s">
        <v>261</v>
      </c>
      <c r="B78" s="4">
        <v>45362</v>
      </c>
      <c r="C78" s="6">
        <v>45607</v>
      </c>
      <c r="D78" t="s">
        <v>2028</v>
      </c>
      <c r="E78" t="s">
        <v>57</v>
      </c>
      <c r="F78" t="s">
        <v>81</v>
      </c>
      <c r="G78" t="s">
        <v>36</v>
      </c>
      <c r="H78" t="s">
        <v>186</v>
      </c>
      <c r="I78" t="s">
        <v>187</v>
      </c>
      <c r="J78" t="s">
        <v>27</v>
      </c>
      <c r="K78" t="s">
        <v>82</v>
      </c>
      <c r="L78" t="s">
        <v>262</v>
      </c>
      <c r="M78" t="s">
        <v>30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31</v>
      </c>
      <c r="U78" t="s">
        <v>32</v>
      </c>
      <c r="V78">
        <f t="shared" si="5"/>
        <v>10218.81</v>
      </c>
      <c r="W78">
        <f t="shared" si="6"/>
        <v>2601.8399999999992</v>
      </c>
      <c r="X78">
        <f t="shared" si="7"/>
        <v>25.461281695226738</v>
      </c>
      <c r="Y78">
        <f t="shared" si="8"/>
        <v>245</v>
      </c>
      <c r="Z78" t="str" cm="1">
        <f t="array" ref="Z78">_xlfn.IFS(Y78&lt;0, "Invalid Date", ISBLANK(G78), "Missing Region", TRUE, "Clean")</f>
        <v>Clean</v>
      </c>
    </row>
    <row r="79" spans="1:26">
      <c r="A79" t="s">
        <v>263</v>
      </c>
      <c r="B79" s="4">
        <v>45846</v>
      </c>
      <c r="C79" s="6">
        <v>45998</v>
      </c>
      <c r="D79" t="s">
        <v>2029</v>
      </c>
      <c r="E79" t="s">
        <v>121</v>
      </c>
      <c r="F79" t="s">
        <v>85</v>
      </c>
      <c r="G79" t="s">
        <v>24</v>
      </c>
      <c r="H79" t="s">
        <v>117</v>
      </c>
      <c r="I79" t="s">
        <v>118</v>
      </c>
      <c r="J79" t="s">
        <v>39</v>
      </c>
      <c r="K79" t="s">
        <v>53</v>
      </c>
      <c r="L79" t="s">
        <v>264</v>
      </c>
      <c r="M79" t="s">
        <v>55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91</v>
      </c>
      <c r="U79" t="s">
        <v>63</v>
      </c>
      <c r="V79">
        <f t="shared" si="5"/>
        <v>2194.87</v>
      </c>
      <c r="W79">
        <f t="shared" si="6"/>
        <v>971.69999999999982</v>
      </c>
      <c r="X79">
        <f t="shared" si="7"/>
        <v>44.271414707932585</v>
      </c>
      <c r="Y79">
        <f t="shared" si="8"/>
        <v>152</v>
      </c>
      <c r="Z79" t="str" cm="1">
        <f t="array" ref="Z79">_xlfn.IFS(Y79&lt;0, "Invalid Date", ISBLANK(G79), "Missing Region", TRUE, "Clean")</f>
        <v>Clean</v>
      </c>
    </row>
    <row r="80" spans="1:26">
      <c r="A80" t="s">
        <v>265</v>
      </c>
      <c r="B80" s="4">
        <v>45854</v>
      </c>
      <c r="C80" s="6">
        <v>45859</v>
      </c>
      <c r="D80" t="s">
        <v>2030</v>
      </c>
      <c r="E80" t="s">
        <v>114</v>
      </c>
      <c r="F80" t="s">
        <v>81</v>
      </c>
      <c r="G80" t="s">
        <v>36</v>
      </c>
      <c r="H80" t="s">
        <v>88</v>
      </c>
      <c r="I80" t="s">
        <v>89</v>
      </c>
      <c r="J80" t="s">
        <v>39</v>
      </c>
      <c r="K80" t="s">
        <v>40</v>
      </c>
      <c r="L80" t="s">
        <v>266</v>
      </c>
      <c r="M80" t="s">
        <v>47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31</v>
      </c>
      <c r="U80" t="s">
        <v>32</v>
      </c>
      <c r="V80">
        <f t="shared" si="5"/>
        <v>9050.4175000000014</v>
      </c>
      <c r="W80">
        <f t="shared" si="6"/>
        <v>2271.567500000001</v>
      </c>
      <c r="X80">
        <f t="shared" si="7"/>
        <v>25.099035486484471</v>
      </c>
      <c r="Y80">
        <f t="shared" si="8"/>
        <v>5</v>
      </c>
      <c r="Z80" t="str" cm="1">
        <f t="array" ref="Z80">_xlfn.IFS(Y80&lt;0, "Invalid Date", ISBLANK(G80), "Missing Region", TRUE, "Clean")</f>
        <v>Clean</v>
      </c>
    </row>
    <row r="81" spans="1:26">
      <c r="A81" t="s">
        <v>267</v>
      </c>
      <c r="B81" s="4">
        <v>45927</v>
      </c>
      <c r="C81" s="6">
        <v>45726</v>
      </c>
      <c r="D81" t="s">
        <v>2031</v>
      </c>
      <c r="E81" t="s">
        <v>137</v>
      </c>
      <c r="F81" t="s">
        <v>85</v>
      </c>
      <c r="G81" t="s">
        <v>50</v>
      </c>
      <c r="H81" t="s">
        <v>200</v>
      </c>
      <c r="I81" t="s">
        <v>201</v>
      </c>
      <c r="J81" t="s">
        <v>39</v>
      </c>
      <c r="K81" t="s">
        <v>61</v>
      </c>
      <c r="L81" t="s">
        <v>268</v>
      </c>
      <c r="M81" t="s">
        <v>42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31</v>
      </c>
      <c r="U81" t="s">
        <v>32</v>
      </c>
      <c r="V81">
        <f t="shared" si="5"/>
        <v>33465.312000000005</v>
      </c>
      <c r="W81">
        <f t="shared" si="6"/>
        <v>8684.052000000007</v>
      </c>
      <c r="X81">
        <f t="shared" si="7"/>
        <v>25.949412932411942</v>
      </c>
      <c r="Y81">
        <f t="shared" si="8"/>
        <v>-201</v>
      </c>
      <c r="Z81" t="str" cm="1">
        <f t="array" ref="Z81">_xlfn.IFS(Y81&lt;0, "Invalid Date", ISBLANK(G81), "Missing Region", TRUE, "Clean")</f>
        <v>Invalid Date</v>
      </c>
    </row>
    <row r="82" spans="1:26">
      <c r="A82" t="s">
        <v>269</v>
      </c>
      <c r="B82" s="4">
        <v>45573</v>
      </c>
      <c r="C82" s="6">
        <v>45518</v>
      </c>
      <c r="D82" t="s">
        <v>2032</v>
      </c>
      <c r="E82" t="s">
        <v>111</v>
      </c>
      <c r="F82" t="s">
        <v>35</v>
      </c>
      <c r="G82" t="s">
        <v>24</v>
      </c>
      <c r="H82" t="s">
        <v>270</v>
      </c>
      <c r="I82" t="s">
        <v>271</v>
      </c>
      <c r="J82" t="s">
        <v>27</v>
      </c>
      <c r="K82" t="s">
        <v>108</v>
      </c>
      <c r="L82" t="s">
        <v>272</v>
      </c>
      <c r="M82" t="s">
        <v>30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98</v>
      </c>
      <c r="U82" t="s">
        <v>92</v>
      </c>
      <c r="V82">
        <f t="shared" si="5"/>
        <v>4256.3519999999999</v>
      </c>
      <c r="W82">
        <f t="shared" si="6"/>
        <v>1761.0219999999999</v>
      </c>
      <c r="X82">
        <f t="shared" si="7"/>
        <v>41.373974708858661</v>
      </c>
      <c r="Y82">
        <f t="shared" si="8"/>
        <v>-55</v>
      </c>
      <c r="Z82" t="str" cm="1">
        <f t="array" ref="Z82">_xlfn.IFS(Y82&lt;0, "Invalid Date", ISBLANK(G82), "Missing Region", TRUE, "Clean")</f>
        <v>Invalid Date</v>
      </c>
    </row>
    <row r="83" spans="1:26">
      <c r="A83" t="s">
        <v>273</v>
      </c>
      <c r="B83" s="4">
        <v>45732</v>
      </c>
      <c r="C83" s="6">
        <v>45733</v>
      </c>
      <c r="D83" t="s">
        <v>2033</v>
      </c>
      <c r="E83" t="s">
        <v>22</v>
      </c>
      <c r="F83" t="s">
        <v>85</v>
      </c>
      <c r="G83" t="s">
        <v>58</v>
      </c>
      <c r="H83" t="s">
        <v>159</v>
      </c>
      <c r="I83" t="s">
        <v>160</v>
      </c>
      <c r="J83" t="s">
        <v>27</v>
      </c>
      <c r="K83" t="s">
        <v>82</v>
      </c>
      <c r="L83" t="s">
        <v>274</v>
      </c>
      <c r="M83" t="s">
        <v>42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31</v>
      </c>
      <c r="U83" t="s">
        <v>32</v>
      </c>
      <c r="V83">
        <f t="shared" si="5"/>
        <v>5525.7300000000005</v>
      </c>
      <c r="W83">
        <f t="shared" si="6"/>
        <v>2432.3100000000004</v>
      </c>
      <c r="X83">
        <f t="shared" si="7"/>
        <v>44.017894468242211</v>
      </c>
      <c r="Y83">
        <f t="shared" si="8"/>
        <v>1</v>
      </c>
      <c r="Z83" t="str" cm="1">
        <f t="array" ref="Z83">_xlfn.IFS(Y83&lt;0, "Invalid Date", ISBLANK(G83), "Missing Region", TRUE, "Clean")</f>
        <v>Clean</v>
      </c>
    </row>
    <row r="84" spans="1:26">
      <c r="A84" t="s">
        <v>275</v>
      </c>
      <c r="B84" s="4">
        <v>45359</v>
      </c>
      <c r="C84" s="6">
        <v>45390</v>
      </c>
      <c r="D84" t="s">
        <v>2034</v>
      </c>
      <c r="E84" t="s">
        <v>49</v>
      </c>
      <c r="F84" t="s">
        <v>23</v>
      </c>
      <c r="G84" t="s">
        <v>24</v>
      </c>
      <c r="H84" t="s">
        <v>117</v>
      </c>
      <c r="I84" t="s">
        <v>118</v>
      </c>
      <c r="J84" t="s">
        <v>68</v>
      </c>
      <c r="K84" t="s">
        <v>73</v>
      </c>
      <c r="L84" t="s">
        <v>276</v>
      </c>
      <c r="M84" t="s">
        <v>30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132</v>
      </c>
      <c r="U84" t="s">
        <v>92</v>
      </c>
      <c r="V84">
        <f t="shared" si="5"/>
        <v>6010.38</v>
      </c>
      <c r="W84">
        <f t="shared" si="6"/>
        <v>2247.5300000000002</v>
      </c>
      <c r="X84">
        <f t="shared" si="7"/>
        <v>37.394141468592672</v>
      </c>
      <c r="Y84">
        <f t="shared" si="8"/>
        <v>31</v>
      </c>
      <c r="Z84" t="str" cm="1">
        <f t="array" ref="Z84">_xlfn.IFS(Y84&lt;0, "Invalid Date", ISBLANK(G84), "Missing Region", TRUE, "Clean")</f>
        <v>Clean</v>
      </c>
    </row>
    <row r="85" spans="1:26">
      <c r="A85" t="s">
        <v>277</v>
      </c>
      <c r="B85" s="4">
        <v>45591</v>
      </c>
      <c r="C85" s="6">
        <v>45594</v>
      </c>
      <c r="D85" t="s">
        <v>2035</v>
      </c>
      <c r="E85" t="s">
        <v>80</v>
      </c>
      <c r="F85" t="s">
        <v>85</v>
      </c>
      <c r="G85" t="s">
        <v>58</v>
      </c>
      <c r="H85" t="s">
        <v>59</v>
      </c>
      <c r="I85" t="s">
        <v>60</v>
      </c>
      <c r="J85" t="s">
        <v>39</v>
      </c>
      <c r="K85" t="s">
        <v>40</v>
      </c>
      <c r="L85" t="s">
        <v>278</v>
      </c>
      <c r="M85" t="s">
        <v>30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31</v>
      </c>
      <c r="U85" t="s">
        <v>32</v>
      </c>
      <c r="V85">
        <f t="shared" si="5"/>
        <v>948.52800000000013</v>
      </c>
      <c r="W85">
        <f t="shared" si="6"/>
        <v>273.90800000000013</v>
      </c>
      <c r="X85">
        <f t="shared" si="7"/>
        <v>28.877165460587364</v>
      </c>
      <c r="Y85">
        <f t="shared" si="8"/>
        <v>3</v>
      </c>
      <c r="Z85" t="str" cm="1">
        <f t="array" ref="Z85">_xlfn.IFS(Y85&lt;0, "Invalid Date", ISBLANK(G85), "Missing Region", TRUE, "Clean")</f>
        <v>Clean</v>
      </c>
    </row>
    <row r="86" spans="1:26">
      <c r="A86" t="s">
        <v>279</v>
      </c>
      <c r="B86" s="4">
        <v>45301</v>
      </c>
      <c r="C86" s="6">
        <v>45361</v>
      </c>
      <c r="D86" t="s">
        <v>2036</v>
      </c>
      <c r="E86" t="s">
        <v>121</v>
      </c>
      <c r="F86" t="s">
        <v>81</v>
      </c>
      <c r="G86" t="s">
        <v>50</v>
      </c>
      <c r="H86" t="s">
        <v>200</v>
      </c>
      <c r="I86" t="s">
        <v>201</v>
      </c>
      <c r="J86" t="s">
        <v>68</v>
      </c>
      <c r="K86" t="s">
        <v>144</v>
      </c>
      <c r="L86" t="s">
        <v>280</v>
      </c>
      <c r="M86" t="s">
        <v>30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31</v>
      </c>
      <c r="U86" t="s">
        <v>32</v>
      </c>
      <c r="V86">
        <f t="shared" si="5"/>
        <v>2737.3440000000001</v>
      </c>
      <c r="W86">
        <f t="shared" si="6"/>
        <v>651.904</v>
      </c>
      <c r="X86">
        <f t="shared" si="7"/>
        <v>23.815201889130485</v>
      </c>
      <c r="Y86">
        <f t="shared" si="8"/>
        <v>60</v>
      </c>
      <c r="Z86" t="str" cm="1">
        <f t="array" ref="Z86">_xlfn.IFS(Y86&lt;0, "Invalid Date", ISBLANK(G86), "Missing Region", TRUE, "Clean")</f>
        <v>Clean</v>
      </c>
    </row>
    <row r="87" spans="1:26">
      <c r="A87" t="s">
        <v>281</v>
      </c>
      <c r="B87" s="4">
        <v>45503</v>
      </c>
      <c r="C87" s="6">
        <v>45509</v>
      </c>
      <c r="D87" t="s">
        <v>2037</v>
      </c>
      <c r="E87" t="s">
        <v>212</v>
      </c>
      <c r="F87" t="s">
        <v>81</v>
      </c>
      <c r="G87" t="s">
        <v>24</v>
      </c>
      <c r="H87" t="s">
        <v>270</v>
      </c>
      <c r="I87" t="s">
        <v>271</v>
      </c>
      <c r="J87" t="s">
        <v>27</v>
      </c>
      <c r="K87" t="s">
        <v>130</v>
      </c>
      <c r="L87" t="s">
        <v>282</v>
      </c>
      <c r="M87" t="s">
        <v>55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31</v>
      </c>
      <c r="U87" t="s">
        <v>63</v>
      </c>
      <c r="V87">
        <f t="shared" si="5"/>
        <v>608.64</v>
      </c>
      <c r="W87">
        <f t="shared" si="6"/>
        <v>264.64999999999998</v>
      </c>
      <c r="X87">
        <f t="shared" si="7"/>
        <v>43.4821898002103</v>
      </c>
      <c r="Y87">
        <f t="shared" si="8"/>
        <v>6</v>
      </c>
      <c r="Z87" t="str" cm="1">
        <f t="array" ref="Z87">_xlfn.IFS(Y87&lt;0, "Invalid Date", ISBLANK(G87), "Missing Region", TRUE, "Clean")</f>
        <v>Clean</v>
      </c>
    </row>
    <row r="88" spans="1:26">
      <c r="A88" t="s">
        <v>283</v>
      </c>
      <c r="B88" s="4">
        <v>45298</v>
      </c>
      <c r="C88" s="6">
        <v>45298</v>
      </c>
      <c r="D88" t="s">
        <v>2038</v>
      </c>
      <c r="E88" t="s">
        <v>57</v>
      </c>
      <c r="F88" t="s">
        <v>35</v>
      </c>
      <c r="G88" t="s">
        <v>24</v>
      </c>
      <c r="H88" t="s">
        <v>270</v>
      </c>
      <c r="I88" t="s">
        <v>271</v>
      </c>
      <c r="J88" t="s">
        <v>68</v>
      </c>
      <c r="K88" t="s">
        <v>73</v>
      </c>
      <c r="L88" t="s">
        <v>284</v>
      </c>
      <c r="M88" t="s">
        <v>30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91</v>
      </c>
      <c r="U88" t="s">
        <v>63</v>
      </c>
      <c r="V88">
        <f t="shared" si="5"/>
        <v>2390.2560000000003</v>
      </c>
      <c r="W88">
        <f t="shared" si="6"/>
        <v>894.31600000000026</v>
      </c>
      <c r="X88">
        <f t="shared" si="7"/>
        <v>37.415071858411828</v>
      </c>
      <c r="Y88">
        <f t="shared" si="8"/>
        <v>0</v>
      </c>
      <c r="Z88" t="str" cm="1">
        <f t="array" ref="Z88">_xlfn.IFS(Y88&lt;0, "Invalid Date", ISBLANK(G88), "Missing Region", TRUE, "Clean")</f>
        <v>Clean</v>
      </c>
    </row>
    <row r="89" spans="1:26">
      <c r="A89" t="s">
        <v>285</v>
      </c>
      <c r="B89" s="4">
        <v>45330</v>
      </c>
      <c r="C89" s="6">
        <v>45359</v>
      </c>
      <c r="D89" t="s">
        <v>2039</v>
      </c>
      <c r="E89" t="s">
        <v>65</v>
      </c>
      <c r="F89" t="s">
        <v>23</v>
      </c>
      <c r="G89" t="s">
        <v>36</v>
      </c>
      <c r="H89" t="s">
        <v>140</v>
      </c>
      <c r="I89" t="s">
        <v>141</v>
      </c>
      <c r="J89" t="s">
        <v>27</v>
      </c>
      <c r="K89" t="s">
        <v>130</v>
      </c>
      <c r="L89" t="s">
        <v>286</v>
      </c>
      <c r="M89" t="s">
        <v>55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31</v>
      </c>
      <c r="U89" t="s">
        <v>32</v>
      </c>
      <c r="V89">
        <f t="shared" si="5"/>
        <v>23416.539999999997</v>
      </c>
      <c r="W89">
        <f t="shared" si="6"/>
        <v>7925.6499999999978</v>
      </c>
      <c r="X89">
        <f t="shared" si="7"/>
        <v>33.846375254414184</v>
      </c>
      <c r="Y89">
        <f t="shared" si="8"/>
        <v>29</v>
      </c>
      <c r="Z89" t="str" cm="1">
        <f t="array" ref="Z89">_xlfn.IFS(Y89&lt;0, "Invalid Date", ISBLANK(G89), "Missing Region", TRUE, "Clean")</f>
        <v>Clean</v>
      </c>
    </row>
    <row r="90" spans="1:26">
      <c r="A90" t="s">
        <v>287</v>
      </c>
      <c r="B90" s="4">
        <v>45375</v>
      </c>
      <c r="C90" s="6">
        <v>45378</v>
      </c>
      <c r="D90" t="s">
        <v>2040</v>
      </c>
      <c r="E90" t="s">
        <v>121</v>
      </c>
      <c r="F90" t="s">
        <v>35</v>
      </c>
      <c r="G90" t="s">
        <v>58</v>
      </c>
      <c r="H90" t="s">
        <v>59</v>
      </c>
      <c r="I90" t="s">
        <v>60</v>
      </c>
      <c r="J90" t="s">
        <v>39</v>
      </c>
      <c r="K90" t="s">
        <v>134</v>
      </c>
      <c r="L90" t="s">
        <v>288</v>
      </c>
      <c r="M90" t="s">
        <v>55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31</v>
      </c>
      <c r="U90" t="s">
        <v>32</v>
      </c>
      <c r="V90">
        <f t="shared" si="5"/>
        <v>6241.0249999999996</v>
      </c>
      <c r="W90">
        <f t="shared" si="6"/>
        <v>895.14499999999953</v>
      </c>
      <c r="X90">
        <f t="shared" si="7"/>
        <v>14.342916427990588</v>
      </c>
      <c r="Y90">
        <f t="shared" si="8"/>
        <v>3</v>
      </c>
      <c r="Z90" t="str" cm="1">
        <f t="array" ref="Z90">_xlfn.IFS(Y90&lt;0, "Invalid Date", ISBLANK(G90), "Missing Region", TRUE, "Clean")</f>
        <v>Clean</v>
      </c>
    </row>
    <row r="91" spans="1:26">
      <c r="A91" t="s">
        <v>289</v>
      </c>
      <c r="B91" s="4">
        <v>45421</v>
      </c>
      <c r="C91" s="6">
        <v>45421</v>
      </c>
      <c r="D91" t="s">
        <v>2041</v>
      </c>
      <c r="E91" t="s">
        <v>212</v>
      </c>
      <c r="F91" t="s">
        <v>23</v>
      </c>
      <c r="G91" t="s">
        <v>50</v>
      </c>
      <c r="H91" t="s">
        <v>76</v>
      </c>
      <c r="I91" t="s">
        <v>77</v>
      </c>
      <c r="J91" t="s">
        <v>39</v>
      </c>
      <c r="K91" t="s">
        <v>134</v>
      </c>
      <c r="L91" t="s">
        <v>290</v>
      </c>
      <c r="M91" t="s">
        <v>55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98</v>
      </c>
      <c r="U91" t="s">
        <v>63</v>
      </c>
      <c r="V91">
        <f t="shared" si="5"/>
        <v>21062.104000000003</v>
      </c>
      <c r="W91">
        <f t="shared" si="6"/>
        <v>9004.9740000000038</v>
      </c>
      <c r="X91">
        <f t="shared" si="7"/>
        <v>42.754389589947912</v>
      </c>
      <c r="Y91">
        <f t="shared" si="8"/>
        <v>0</v>
      </c>
      <c r="Z91" t="str" cm="1">
        <f t="array" ref="Z91">_xlfn.IFS(Y91&lt;0, "Invalid Date", ISBLANK(G91), "Missing Region", TRUE, "Clean")</f>
        <v>Clean</v>
      </c>
    </row>
    <row r="92" spans="1:26">
      <c r="A92" t="s">
        <v>291</v>
      </c>
      <c r="B92" s="4">
        <v>45893</v>
      </c>
      <c r="C92" s="6">
        <v>45898</v>
      </c>
      <c r="D92" t="s">
        <v>2042</v>
      </c>
      <c r="E92" t="s">
        <v>111</v>
      </c>
      <c r="F92" t="s">
        <v>35</v>
      </c>
      <c r="G92" t="s">
        <v>36</v>
      </c>
      <c r="H92" t="s">
        <v>124</v>
      </c>
      <c r="I92" t="s">
        <v>125</v>
      </c>
      <c r="J92" t="s">
        <v>68</v>
      </c>
      <c r="K92" t="s">
        <v>73</v>
      </c>
      <c r="L92" t="s">
        <v>292</v>
      </c>
      <c r="M92" t="s">
        <v>47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31</v>
      </c>
      <c r="U92" t="s">
        <v>32</v>
      </c>
      <c r="V92">
        <f t="shared" si="5"/>
        <v>9445.098</v>
      </c>
      <c r="W92">
        <f t="shared" si="6"/>
        <v>3858.8180000000002</v>
      </c>
      <c r="X92">
        <f t="shared" si="7"/>
        <v>40.855245758170007</v>
      </c>
      <c r="Y92">
        <f t="shared" si="8"/>
        <v>5</v>
      </c>
      <c r="Z92" t="str" cm="1">
        <f t="array" ref="Z92">_xlfn.IFS(Y92&lt;0, "Invalid Date", ISBLANK(G92), "Missing Region", TRUE, "Clean")</f>
        <v>Clean</v>
      </c>
    </row>
    <row r="93" spans="1:26">
      <c r="A93" t="s">
        <v>293</v>
      </c>
      <c r="B93" s="4">
        <v>45691</v>
      </c>
      <c r="C93" s="6">
        <v>45724</v>
      </c>
      <c r="D93" t="s">
        <v>2043</v>
      </c>
      <c r="E93" t="s">
        <v>114</v>
      </c>
      <c r="F93" t="s">
        <v>81</v>
      </c>
      <c r="G93" t="s">
        <v>58</v>
      </c>
      <c r="H93" t="s">
        <v>66</v>
      </c>
      <c r="I93" t="s">
        <v>67</v>
      </c>
      <c r="J93" t="s">
        <v>68</v>
      </c>
      <c r="K93" t="s">
        <v>73</v>
      </c>
      <c r="L93" t="s">
        <v>294</v>
      </c>
      <c r="M93" t="s">
        <v>30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31</v>
      </c>
      <c r="U93" t="s">
        <v>32</v>
      </c>
      <c r="V93">
        <f t="shared" si="5"/>
        <v>2427.12</v>
      </c>
      <c r="W93">
        <f t="shared" si="6"/>
        <v>888.77</v>
      </c>
      <c r="X93">
        <f t="shared" si="7"/>
        <v>36.618296581957217</v>
      </c>
      <c r="Y93">
        <f t="shared" si="8"/>
        <v>33</v>
      </c>
      <c r="Z93" t="str" cm="1">
        <f t="array" ref="Z93">_xlfn.IFS(Y93&lt;0, "Invalid Date", ISBLANK(G93), "Missing Region", TRUE, "Clean")</f>
        <v>Clean</v>
      </c>
    </row>
    <row r="94" spans="1:26">
      <c r="A94" t="s">
        <v>295</v>
      </c>
      <c r="B94" s="4">
        <v>45680</v>
      </c>
      <c r="C94" s="6">
        <v>45683</v>
      </c>
      <c r="D94" t="s">
        <v>2044</v>
      </c>
      <c r="E94" t="s">
        <v>111</v>
      </c>
      <c r="F94" t="s">
        <v>23</v>
      </c>
      <c r="G94" t="s">
        <v>58</v>
      </c>
      <c r="H94" t="s">
        <v>66</v>
      </c>
      <c r="I94" t="s">
        <v>67</v>
      </c>
      <c r="J94" t="s">
        <v>27</v>
      </c>
      <c r="K94" t="s">
        <v>28</v>
      </c>
      <c r="L94" t="s">
        <v>296</v>
      </c>
      <c r="M94" t="s">
        <v>55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31</v>
      </c>
      <c r="U94" t="s">
        <v>32</v>
      </c>
      <c r="V94">
        <f t="shared" si="5"/>
        <v>36111.906000000003</v>
      </c>
      <c r="W94">
        <f t="shared" si="6"/>
        <v>6917.4060000000027</v>
      </c>
      <c r="X94">
        <f t="shared" si="7"/>
        <v>19.15547188232048</v>
      </c>
      <c r="Y94">
        <f t="shared" si="8"/>
        <v>3</v>
      </c>
      <c r="Z94" t="str" cm="1">
        <f t="array" ref="Z94">_xlfn.IFS(Y94&lt;0, "Invalid Date", ISBLANK(G94), "Missing Region", TRUE, "Clean")</f>
        <v>Clean</v>
      </c>
    </row>
    <row r="95" spans="1:26">
      <c r="A95" t="s">
        <v>297</v>
      </c>
      <c r="B95" s="4">
        <v>45298</v>
      </c>
      <c r="C95" s="6">
        <v>45304</v>
      </c>
      <c r="D95" t="s">
        <v>2045</v>
      </c>
      <c r="E95" t="s">
        <v>121</v>
      </c>
      <c r="F95" t="s">
        <v>81</v>
      </c>
      <c r="G95" t="s">
        <v>24</v>
      </c>
      <c r="H95" t="s">
        <v>117</v>
      </c>
      <c r="I95" t="s">
        <v>118</v>
      </c>
      <c r="J95" t="s">
        <v>27</v>
      </c>
      <c r="K95" t="s">
        <v>130</v>
      </c>
      <c r="L95" t="s">
        <v>298</v>
      </c>
      <c r="M95" t="s">
        <v>55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31</v>
      </c>
      <c r="U95" t="s">
        <v>32</v>
      </c>
      <c r="V95">
        <f t="shared" si="5"/>
        <v>21279.841099999998</v>
      </c>
      <c r="W95">
        <f t="shared" si="6"/>
        <v>8824.0610999999972</v>
      </c>
      <c r="X95">
        <f t="shared" si="7"/>
        <v>41.466762174272056</v>
      </c>
      <c r="Y95">
        <f t="shared" si="8"/>
        <v>6</v>
      </c>
      <c r="Z95" t="str" cm="1">
        <f t="array" ref="Z95">_xlfn.IFS(Y95&lt;0, "Invalid Date", ISBLANK(G95), "Missing Region", TRUE, "Clean")</f>
        <v>Clean</v>
      </c>
    </row>
    <row r="96" spans="1:26">
      <c r="A96" t="s">
        <v>299</v>
      </c>
      <c r="B96" s="4">
        <v>45541</v>
      </c>
      <c r="C96" s="6">
        <v>45544</v>
      </c>
      <c r="D96" t="s">
        <v>2046</v>
      </c>
      <c r="E96" t="s">
        <v>137</v>
      </c>
      <c r="F96" t="s">
        <v>23</v>
      </c>
      <c r="G96" t="s">
        <v>24</v>
      </c>
      <c r="H96" t="s">
        <v>192</v>
      </c>
      <c r="I96" t="s">
        <v>193</v>
      </c>
      <c r="J96" t="s">
        <v>68</v>
      </c>
      <c r="K96" t="s">
        <v>144</v>
      </c>
      <c r="L96" t="s">
        <v>300</v>
      </c>
      <c r="M96" t="s">
        <v>30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98</v>
      </c>
      <c r="U96" t="s">
        <v>63</v>
      </c>
      <c r="V96">
        <f t="shared" si="5"/>
        <v>26470.710000000003</v>
      </c>
      <c r="W96">
        <f t="shared" si="6"/>
        <v>5103.1100000000042</v>
      </c>
      <c r="X96">
        <f t="shared" si="7"/>
        <v>19.278326875251945</v>
      </c>
      <c r="Y96">
        <f t="shared" si="8"/>
        <v>3</v>
      </c>
      <c r="Z96" t="str" cm="1">
        <f t="array" ref="Z96">_xlfn.IFS(Y96&lt;0, "Invalid Date", ISBLANK(G96), "Missing Region", TRUE, "Clean")</f>
        <v>Clean</v>
      </c>
    </row>
    <row r="97" spans="1:26">
      <c r="A97" t="s">
        <v>301</v>
      </c>
      <c r="B97" s="4">
        <v>45786</v>
      </c>
      <c r="C97" s="6">
        <v>45910</v>
      </c>
      <c r="D97" t="s">
        <v>2047</v>
      </c>
      <c r="E97" t="s">
        <v>114</v>
      </c>
      <c r="F97" t="s">
        <v>81</v>
      </c>
      <c r="G97" t="s">
        <v>58</v>
      </c>
      <c r="H97" t="s">
        <v>159</v>
      </c>
      <c r="I97" t="s">
        <v>160</v>
      </c>
      <c r="J97" t="s">
        <v>39</v>
      </c>
      <c r="K97" t="s">
        <v>134</v>
      </c>
      <c r="L97" t="s">
        <v>302</v>
      </c>
      <c r="M97" t="s">
        <v>42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31</v>
      </c>
      <c r="U97" t="s">
        <v>32</v>
      </c>
      <c r="V97">
        <f t="shared" si="5"/>
        <v>10524.78</v>
      </c>
      <c r="W97">
        <f t="shared" si="6"/>
        <v>1683.7300000000014</v>
      </c>
      <c r="X97">
        <f t="shared" si="7"/>
        <v>15.997769074507984</v>
      </c>
      <c r="Y97">
        <f t="shared" si="8"/>
        <v>124</v>
      </c>
      <c r="Z97" t="str" cm="1">
        <f t="array" ref="Z97">_xlfn.IFS(Y97&lt;0, "Invalid Date", ISBLANK(G97), "Missing Region", TRUE, "Clean")</f>
        <v>Clean</v>
      </c>
    </row>
    <row r="98" spans="1:26">
      <c r="A98" t="s">
        <v>303</v>
      </c>
      <c r="B98" s="4">
        <v>45418</v>
      </c>
      <c r="C98" s="6">
        <v>45479</v>
      </c>
      <c r="D98" t="s">
        <v>2048</v>
      </c>
      <c r="E98" t="s">
        <v>103</v>
      </c>
      <c r="F98" t="s">
        <v>85</v>
      </c>
      <c r="G98" t="s">
        <v>36</v>
      </c>
      <c r="H98" t="s">
        <v>37</v>
      </c>
      <c r="I98" t="s">
        <v>38</v>
      </c>
      <c r="J98" t="s">
        <v>68</v>
      </c>
      <c r="K98" t="s">
        <v>73</v>
      </c>
      <c r="L98" t="s">
        <v>304</v>
      </c>
      <c r="M98" t="s">
        <v>30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31</v>
      </c>
      <c r="U98" t="s">
        <v>32</v>
      </c>
      <c r="V98">
        <f t="shared" si="5"/>
        <v>3840.7079999999996</v>
      </c>
      <c r="W98">
        <f t="shared" si="6"/>
        <v>1324.4179999999997</v>
      </c>
      <c r="X98">
        <f t="shared" si="7"/>
        <v>34.483694152224011</v>
      </c>
      <c r="Y98">
        <f t="shared" si="8"/>
        <v>61</v>
      </c>
      <c r="Z98" t="str" cm="1">
        <f t="array" ref="Z98">_xlfn.IFS(Y98&lt;0, "Invalid Date", ISBLANK(G98), "Missing Region", TRUE, "Clean")</f>
        <v>Clean</v>
      </c>
    </row>
    <row r="99" spans="1:26">
      <c r="A99" t="s">
        <v>305</v>
      </c>
      <c r="B99" s="4">
        <v>45877</v>
      </c>
      <c r="C99" s="6">
        <v>45969</v>
      </c>
      <c r="D99" t="s">
        <v>2049</v>
      </c>
      <c r="E99" t="s">
        <v>137</v>
      </c>
      <c r="F99" t="s">
        <v>35</v>
      </c>
      <c r="G99" t="s">
        <v>58</v>
      </c>
      <c r="H99" t="s">
        <v>151</v>
      </c>
      <c r="I99" t="s">
        <v>152</v>
      </c>
      <c r="J99" t="s">
        <v>27</v>
      </c>
      <c r="K99" t="s">
        <v>108</v>
      </c>
      <c r="L99" t="s">
        <v>306</v>
      </c>
      <c r="M99" t="s">
        <v>42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98</v>
      </c>
      <c r="U99" t="s">
        <v>92</v>
      </c>
      <c r="V99">
        <f t="shared" si="5"/>
        <v>14409.44</v>
      </c>
      <c r="W99">
        <f t="shared" si="6"/>
        <v>5599.4700000000012</v>
      </c>
      <c r="X99">
        <f t="shared" si="7"/>
        <v>38.859733619071953</v>
      </c>
      <c r="Y99">
        <f t="shared" si="8"/>
        <v>92</v>
      </c>
      <c r="Z99" t="str" cm="1">
        <f t="array" ref="Z99">_xlfn.IFS(Y99&lt;0, "Invalid Date", ISBLANK(G99), "Missing Region", TRUE, "Clean")</f>
        <v>Clean</v>
      </c>
    </row>
    <row r="100" spans="1:26">
      <c r="A100" t="s">
        <v>307</v>
      </c>
      <c r="B100" s="4">
        <v>45317</v>
      </c>
      <c r="C100" s="6">
        <v>45323</v>
      </c>
      <c r="D100" t="s">
        <v>2050</v>
      </c>
      <c r="E100" t="s">
        <v>121</v>
      </c>
      <c r="F100" t="s">
        <v>85</v>
      </c>
      <c r="G100" t="s">
        <v>50</v>
      </c>
      <c r="H100" t="s">
        <v>155</v>
      </c>
      <c r="I100" t="s">
        <v>156</v>
      </c>
      <c r="J100" t="s">
        <v>68</v>
      </c>
      <c r="K100" t="s">
        <v>73</v>
      </c>
      <c r="L100" t="s">
        <v>308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31</v>
      </c>
      <c r="U100" t="s">
        <v>32</v>
      </c>
      <c r="V100">
        <f t="shared" si="5"/>
        <v>15184.295999999998</v>
      </c>
      <c r="W100">
        <f t="shared" si="6"/>
        <v>3913.5559999999987</v>
      </c>
      <c r="X100">
        <f t="shared" si="7"/>
        <v>25.773707256497104</v>
      </c>
      <c r="Y100">
        <f t="shared" si="8"/>
        <v>6</v>
      </c>
      <c r="Z100" t="str" cm="1">
        <f t="array" ref="Z100">_xlfn.IFS(Y100&lt;0, "Invalid Date", ISBLANK(G100), "Missing Region", TRUE, "Clean")</f>
        <v>Clean</v>
      </c>
    </row>
    <row r="101" spans="1:26">
      <c r="A101" t="s">
        <v>309</v>
      </c>
      <c r="B101" s="4">
        <v>45962</v>
      </c>
      <c r="C101" s="6">
        <v>45962</v>
      </c>
      <c r="D101" t="s">
        <v>2051</v>
      </c>
      <c r="E101" t="s">
        <v>80</v>
      </c>
      <c r="F101" t="s">
        <v>35</v>
      </c>
      <c r="G101" t="s">
        <v>58</v>
      </c>
      <c r="H101" t="s">
        <v>25</v>
      </c>
      <c r="I101" t="s">
        <v>96</v>
      </c>
      <c r="J101" t="s">
        <v>68</v>
      </c>
      <c r="K101" t="s">
        <v>69</v>
      </c>
      <c r="L101" t="s">
        <v>310</v>
      </c>
      <c r="M101" t="s">
        <v>42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31</v>
      </c>
      <c r="U101" t="s">
        <v>32</v>
      </c>
      <c r="V101">
        <f t="shared" si="5"/>
        <v>6495.87</v>
      </c>
      <c r="W101">
        <f t="shared" si="6"/>
        <v>1794.9799999999996</v>
      </c>
      <c r="X101">
        <f t="shared" si="7"/>
        <v>27.632634273777022</v>
      </c>
      <c r="Y101">
        <f t="shared" si="8"/>
        <v>0</v>
      </c>
      <c r="Z101" t="str" cm="1">
        <f t="array" ref="Z101">_xlfn.IFS(Y101&lt;0, "Invalid Date", ISBLANK(G101), "Missing Region", TRUE, "Clean")</f>
        <v>Clean</v>
      </c>
    </row>
    <row r="102" spans="1:26">
      <c r="A102" t="s">
        <v>311</v>
      </c>
      <c r="B102" s="4">
        <v>46000</v>
      </c>
      <c r="C102" s="6">
        <v>45918</v>
      </c>
      <c r="D102" t="s">
        <v>2052</v>
      </c>
      <c r="E102" t="s">
        <v>111</v>
      </c>
      <c r="F102" t="s">
        <v>85</v>
      </c>
      <c r="G102" t="s">
        <v>50</v>
      </c>
      <c r="H102" t="s">
        <v>155</v>
      </c>
      <c r="I102" t="s">
        <v>156</v>
      </c>
      <c r="J102" t="s">
        <v>27</v>
      </c>
      <c r="K102" t="s">
        <v>108</v>
      </c>
      <c r="L102" t="s">
        <v>312</v>
      </c>
      <c r="M102" t="s">
        <v>55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31</v>
      </c>
      <c r="U102" t="s">
        <v>32</v>
      </c>
      <c r="V102">
        <f t="shared" si="5"/>
        <v>9540.659999999998</v>
      </c>
      <c r="W102">
        <f t="shared" si="6"/>
        <v>3979.1699999999983</v>
      </c>
      <c r="X102">
        <f t="shared" si="7"/>
        <v>41.707491934520242</v>
      </c>
      <c r="Y102">
        <f t="shared" si="8"/>
        <v>-82</v>
      </c>
      <c r="Z102" t="str" cm="1">
        <f t="array" ref="Z102">_xlfn.IFS(Y102&lt;0, "Invalid Date", ISBLANK(G102), "Missing Region", TRUE, "Clean")</f>
        <v>Invalid Date</v>
      </c>
    </row>
    <row r="103" spans="1:26">
      <c r="A103" t="s">
        <v>313</v>
      </c>
      <c r="B103" s="4">
        <v>45465</v>
      </c>
      <c r="C103" s="6">
        <v>45469</v>
      </c>
      <c r="D103" t="s">
        <v>2053</v>
      </c>
      <c r="E103" t="s">
        <v>121</v>
      </c>
      <c r="F103" t="s">
        <v>85</v>
      </c>
      <c r="G103" t="s">
        <v>36</v>
      </c>
      <c r="H103" t="s">
        <v>124</v>
      </c>
      <c r="I103" t="s">
        <v>125</v>
      </c>
      <c r="J103" t="s">
        <v>39</v>
      </c>
      <c r="K103" t="s">
        <v>53</v>
      </c>
      <c r="L103" t="s">
        <v>314</v>
      </c>
      <c r="M103" t="s">
        <v>47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31</v>
      </c>
      <c r="U103" t="s">
        <v>32</v>
      </c>
      <c r="V103">
        <f t="shared" si="5"/>
        <v>16486.95</v>
      </c>
      <c r="W103">
        <f t="shared" si="6"/>
        <v>4432.8100000000013</v>
      </c>
      <c r="X103">
        <f t="shared" si="7"/>
        <v>26.886780150361357</v>
      </c>
      <c r="Y103">
        <f t="shared" si="8"/>
        <v>4</v>
      </c>
      <c r="Z103" t="str" cm="1">
        <f t="array" ref="Z103">_xlfn.IFS(Y103&lt;0, "Invalid Date", ISBLANK(G103), "Missing Region", TRUE, "Clean")</f>
        <v>Clean</v>
      </c>
    </row>
    <row r="104" spans="1:26">
      <c r="A104" t="s">
        <v>315</v>
      </c>
      <c r="B104" s="4">
        <v>45998</v>
      </c>
      <c r="C104" s="6">
        <v>45854</v>
      </c>
      <c r="D104" t="s">
        <v>2054</v>
      </c>
      <c r="E104" t="s">
        <v>65</v>
      </c>
      <c r="F104" t="s">
        <v>23</v>
      </c>
      <c r="G104" t="s">
        <v>50</v>
      </c>
      <c r="H104" t="s">
        <v>147</v>
      </c>
      <c r="I104" t="s">
        <v>148</v>
      </c>
      <c r="J104" t="s">
        <v>39</v>
      </c>
      <c r="K104" t="s">
        <v>61</v>
      </c>
      <c r="L104" t="s">
        <v>316</v>
      </c>
      <c r="M104" t="s">
        <v>47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91</v>
      </c>
      <c r="U104" t="s">
        <v>63</v>
      </c>
      <c r="V104">
        <f t="shared" si="5"/>
        <v>11462.84</v>
      </c>
      <c r="W104">
        <f t="shared" si="6"/>
        <v>2483.0599999999995</v>
      </c>
      <c r="X104">
        <f t="shared" si="7"/>
        <v>21.661822026653077</v>
      </c>
      <c r="Y104">
        <f t="shared" si="8"/>
        <v>-144</v>
      </c>
      <c r="Z104" t="str" cm="1">
        <f t="array" ref="Z104">_xlfn.IFS(Y104&lt;0, "Invalid Date", ISBLANK(G104), "Missing Region", TRUE, "Clean")</f>
        <v>Invalid Date</v>
      </c>
    </row>
    <row r="105" spans="1:26">
      <c r="A105" t="s">
        <v>317</v>
      </c>
      <c r="B105" s="4">
        <v>45779</v>
      </c>
      <c r="C105" s="6">
        <v>45787</v>
      </c>
      <c r="D105" t="s">
        <v>2055</v>
      </c>
      <c r="E105" t="s">
        <v>212</v>
      </c>
      <c r="F105" t="s">
        <v>81</v>
      </c>
      <c r="G105" t="s">
        <v>58</v>
      </c>
      <c r="H105" t="s">
        <v>59</v>
      </c>
      <c r="I105" t="s">
        <v>60</v>
      </c>
      <c r="J105" t="s">
        <v>39</v>
      </c>
      <c r="K105" t="s">
        <v>40</v>
      </c>
      <c r="L105" t="s">
        <v>318</v>
      </c>
      <c r="M105" t="s">
        <v>47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31</v>
      </c>
      <c r="U105" t="s">
        <v>32</v>
      </c>
      <c r="V105">
        <f t="shared" si="5"/>
        <v>7809.0880000000006</v>
      </c>
      <c r="W105">
        <f t="shared" si="6"/>
        <v>1151.3380000000006</v>
      </c>
      <c r="X105">
        <f t="shared" si="7"/>
        <v>14.743565445798543</v>
      </c>
      <c r="Y105">
        <f t="shared" si="8"/>
        <v>8</v>
      </c>
      <c r="Z105" t="str" cm="1">
        <f t="array" ref="Z105">_xlfn.IFS(Y105&lt;0, "Invalid Date", ISBLANK(G105), "Missing Region", TRUE, "Clean")</f>
        <v>Clean</v>
      </c>
    </row>
    <row r="106" spans="1:26">
      <c r="A106" t="s">
        <v>319</v>
      </c>
      <c r="B106" s="4">
        <v>45659</v>
      </c>
      <c r="C106" s="6">
        <v>45696</v>
      </c>
      <c r="D106" t="s">
        <v>2056</v>
      </c>
      <c r="E106" t="s">
        <v>57</v>
      </c>
      <c r="F106" t="s">
        <v>23</v>
      </c>
      <c r="G106" t="s">
        <v>50</v>
      </c>
      <c r="H106" t="s">
        <v>147</v>
      </c>
      <c r="I106" t="s">
        <v>148</v>
      </c>
      <c r="J106" t="s">
        <v>27</v>
      </c>
      <c r="K106" t="s">
        <v>82</v>
      </c>
      <c r="L106" t="s">
        <v>320</v>
      </c>
      <c r="M106" t="s">
        <v>42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31</v>
      </c>
      <c r="U106" t="s">
        <v>63</v>
      </c>
      <c r="V106">
        <f t="shared" si="5"/>
        <v>7922.0250000000005</v>
      </c>
      <c r="W106">
        <f t="shared" si="6"/>
        <v>2302.0750000000007</v>
      </c>
      <c r="X106">
        <f t="shared" si="7"/>
        <v>29.059173633004193</v>
      </c>
      <c r="Y106">
        <f t="shared" si="8"/>
        <v>37</v>
      </c>
      <c r="Z106" t="str" cm="1">
        <f t="array" ref="Z106">_xlfn.IFS(Y106&lt;0, "Invalid Date", ISBLANK(G106), "Missing Region", TRUE, "Clean")</f>
        <v>Clean</v>
      </c>
    </row>
    <row r="107" spans="1:26">
      <c r="A107" t="s">
        <v>321</v>
      </c>
      <c r="B107" s="4">
        <v>45467</v>
      </c>
      <c r="C107" s="6">
        <v>45472</v>
      </c>
      <c r="D107" t="s">
        <v>2057</v>
      </c>
      <c r="E107" t="s">
        <v>34</v>
      </c>
      <c r="F107" t="s">
        <v>85</v>
      </c>
      <c r="G107" t="s">
        <v>36</v>
      </c>
      <c r="H107" t="s">
        <v>88</v>
      </c>
      <c r="I107" t="s">
        <v>89</v>
      </c>
      <c r="J107" t="s">
        <v>39</v>
      </c>
      <c r="K107" t="s">
        <v>40</v>
      </c>
      <c r="L107" t="s">
        <v>322</v>
      </c>
      <c r="M107" t="s">
        <v>30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31</v>
      </c>
      <c r="U107" t="s">
        <v>32</v>
      </c>
      <c r="V107">
        <f t="shared" si="5"/>
        <v>1233</v>
      </c>
      <c r="W107">
        <f t="shared" si="6"/>
        <v>226.10000000000002</v>
      </c>
      <c r="X107">
        <f t="shared" si="7"/>
        <v>18.337388483373886</v>
      </c>
      <c r="Y107">
        <f t="shared" si="8"/>
        <v>5</v>
      </c>
      <c r="Z107" t="str" cm="1">
        <f t="array" ref="Z107">_xlfn.IFS(Y107&lt;0, "Invalid Date", ISBLANK(G107), "Missing Region", TRUE, "Clean")</f>
        <v>Clean</v>
      </c>
    </row>
    <row r="108" spans="1:26">
      <c r="A108" t="s">
        <v>323</v>
      </c>
      <c r="B108" s="4">
        <v>45342</v>
      </c>
      <c r="C108" s="6">
        <v>45350</v>
      </c>
      <c r="D108" t="s">
        <v>2058</v>
      </c>
      <c r="E108" t="s">
        <v>49</v>
      </c>
      <c r="F108" t="s">
        <v>85</v>
      </c>
      <c r="G108" t="s">
        <v>36</v>
      </c>
      <c r="H108" t="s">
        <v>88</v>
      </c>
      <c r="I108" t="s">
        <v>89</v>
      </c>
      <c r="J108" t="s">
        <v>27</v>
      </c>
      <c r="K108" t="s">
        <v>28</v>
      </c>
      <c r="L108" t="s">
        <v>324</v>
      </c>
      <c r="M108" t="s">
        <v>55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31</v>
      </c>
      <c r="U108" t="s">
        <v>63</v>
      </c>
      <c r="V108">
        <f t="shared" si="5"/>
        <v>8008.08</v>
      </c>
      <c r="W108">
        <f t="shared" si="6"/>
        <v>2298.6899999999996</v>
      </c>
      <c r="X108">
        <f t="shared" si="7"/>
        <v>28.704633320346446</v>
      </c>
      <c r="Y108">
        <f t="shared" si="8"/>
        <v>8</v>
      </c>
      <c r="Z108" t="str" cm="1">
        <f t="array" ref="Z108">_xlfn.IFS(Y108&lt;0, "Invalid Date", ISBLANK(G108), "Missing Region", TRUE, "Clean")</f>
        <v>Clean</v>
      </c>
    </row>
    <row r="109" spans="1:26">
      <c r="A109" t="s">
        <v>325</v>
      </c>
      <c r="B109" s="4">
        <v>45594</v>
      </c>
      <c r="C109" s="6">
        <v>45393</v>
      </c>
      <c r="D109" t="s">
        <v>2059</v>
      </c>
      <c r="E109" t="s">
        <v>121</v>
      </c>
      <c r="F109" t="s">
        <v>85</v>
      </c>
      <c r="G109" t="s">
        <v>36</v>
      </c>
      <c r="H109" t="s">
        <v>88</v>
      </c>
      <c r="I109" t="s">
        <v>89</v>
      </c>
      <c r="J109" t="s">
        <v>39</v>
      </c>
      <c r="K109" t="s">
        <v>53</v>
      </c>
      <c r="L109" t="s">
        <v>326</v>
      </c>
      <c r="M109" t="s">
        <v>47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31</v>
      </c>
      <c r="U109" t="s">
        <v>32</v>
      </c>
      <c r="V109">
        <f t="shared" si="5"/>
        <v>12263.236500000001</v>
      </c>
      <c r="W109">
        <f t="shared" si="6"/>
        <v>3337.6665000000012</v>
      </c>
      <c r="X109">
        <f t="shared" si="7"/>
        <v>27.216848504878797</v>
      </c>
      <c r="Y109">
        <f t="shared" si="8"/>
        <v>-201</v>
      </c>
      <c r="Z109" t="str" cm="1">
        <f t="array" ref="Z109">_xlfn.IFS(Y109&lt;0, "Invalid Date", ISBLANK(G109), "Missing Region", TRUE, "Clean")</f>
        <v>Invalid Date</v>
      </c>
    </row>
    <row r="110" spans="1:26">
      <c r="A110" t="s">
        <v>327</v>
      </c>
      <c r="B110" s="4">
        <v>45519</v>
      </c>
      <c r="C110" s="6">
        <v>45527</v>
      </c>
      <c r="D110" t="s">
        <v>2060</v>
      </c>
      <c r="E110" t="s">
        <v>80</v>
      </c>
      <c r="F110" t="s">
        <v>35</v>
      </c>
      <c r="G110" t="s">
        <v>36</v>
      </c>
      <c r="H110" t="s">
        <v>37</v>
      </c>
      <c r="I110" t="s">
        <v>38</v>
      </c>
      <c r="J110" t="s">
        <v>39</v>
      </c>
      <c r="K110" t="s">
        <v>134</v>
      </c>
      <c r="L110" t="s">
        <v>328</v>
      </c>
      <c r="M110" t="s">
        <v>42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31</v>
      </c>
      <c r="U110" t="s">
        <v>32</v>
      </c>
      <c r="V110">
        <f t="shared" si="5"/>
        <v>806.31</v>
      </c>
      <c r="W110">
        <f t="shared" si="6"/>
        <v>307.80999999999995</v>
      </c>
      <c r="X110">
        <f t="shared" si="7"/>
        <v>38.175143555208294</v>
      </c>
      <c r="Y110">
        <f t="shared" si="8"/>
        <v>8</v>
      </c>
      <c r="Z110" t="str" cm="1">
        <f t="array" ref="Z110">_xlfn.IFS(Y110&lt;0, "Invalid Date", ISBLANK(G110), "Missing Region", TRUE, "Clean")</f>
        <v>Clean</v>
      </c>
    </row>
    <row r="111" spans="1:26">
      <c r="A111" t="s">
        <v>329</v>
      </c>
      <c r="B111" s="4">
        <v>45892</v>
      </c>
      <c r="C111" s="6">
        <v>45896</v>
      </c>
      <c r="D111" t="s">
        <v>2061</v>
      </c>
      <c r="E111" t="s">
        <v>114</v>
      </c>
      <c r="F111" t="s">
        <v>23</v>
      </c>
      <c r="G111" t="s">
        <v>24</v>
      </c>
      <c r="H111" t="s">
        <v>270</v>
      </c>
      <c r="I111" t="s">
        <v>271</v>
      </c>
      <c r="J111" t="s">
        <v>27</v>
      </c>
      <c r="K111" t="s">
        <v>130</v>
      </c>
      <c r="L111" t="s">
        <v>330</v>
      </c>
      <c r="M111" t="s">
        <v>30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31</v>
      </c>
      <c r="U111" t="s">
        <v>32</v>
      </c>
      <c r="V111">
        <f t="shared" si="5"/>
        <v>2091.4650000000001</v>
      </c>
      <c r="W111">
        <f t="shared" si="6"/>
        <v>774.24500000000012</v>
      </c>
      <c r="X111">
        <f t="shared" si="7"/>
        <v>37.019266399389906</v>
      </c>
      <c r="Y111">
        <f t="shared" si="8"/>
        <v>4</v>
      </c>
      <c r="Z111" t="str" cm="1">
        <f t="array" ref="Z111">_xlfn.IFS(Y111&lt;0, "Invalid Date", ISBLANK(G111), "Missing Region", TRUE, "Clean")</f>
        <v>Clean</v>
      </c>
    </row>
    <row r="112" spans="1:26">
      <c r="A112" t="s">
        <v>331</v>
      </c>
      <c r="B112" s="4">
        <v>45583</v>
      </c>
      <c r="C112" s="6">
        <v>45589</v>
      </c>
      <c r="D112" t="s">
        <v>2062</v>
      </c>
      <c r="E112" t="s">
        <v>65</v>
      </c>
      <c r="F112" t="s">
        <v>81</v>
      </c>
      <c r="G112" t="s">
        <v>50</v>
      </c>
      <c r="H112" t="s">
        <v>155</v>
      </c>
      <c r="I112" t="s">
        <v>156</v>
      </c>
      <c r="J112" t="s">
        <v>27</v>
      </c>
      <c r="K112" t="s">
        <v>82</v>
      </c>
      <c r="L112" t="s">
        <v>332</v>
      </c>
      <c r="M112" t="s">
        <v>47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91</v>
      </c>
      <c r="U112" t="s">
        <v>63</v>
      </c>
      <c r="V112">
        <f t="shared" si="5"/>
        <v>4500.9399999999996</v>
      </c>
      <c r="W112">
        <f t="shared" si="6"/>
        <v>1893.2099999999996</v>
      </c>
      <c r="X112">
        <f t="shared" si="7"/>
        <v>42.062546934640316</v>
      </c>
      <c r="Y112">
        <f t="shared" si="8"/>
        <v>6</v>
      </c>
      <c r="Z112" t="str" cm="1">
        <f t="array" ref="Z112">_xlfn.IFS(Y112&lt;0, "Invalid Date", ISBLANK(G112), "Missing Region", TRUE, "Clean")</f>
        <v>Clean</v>
      </c>
    </row>
    <row r="113" spans="1:26">
      <c r="A113" t="s">
        <v>333</v>
      </c>
      <c r="B113" s="4">
        <v>45835</v>
      </c>
      <c r="C113" s="6">
        <v>45838</v>
      </c>
      <c r="D113" t="s">
        <v>2063</v>
      </c>
      <c r="E113" t="s">
        <v>72</v>
      </c>
      <c r="F113" t="s">
        <v>81</v>
      </c>
      <c r="G113" t="s">
        <v>36</v>
      </c>
      <c r="H113" t="s">
        <v>124</v>
      </c>
      <c r="I113" t="s">
        <v>125</v>
      </c>
      <c r="J113" t="s">
        <v>68</v>
      </c>
      <c r="K113" t="s">
        <v>69</v>
      </c>
      <c r="L113" t="s">
        <v>334</v>
      </c>
      <c r="M113" t="s">
        <v>47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98</v>
      </c>
      <c r="U113" t="s">
        <v>63</v>
      </c>
      <c r="V113">
        <f t="shared" si="5"/>
        <v>1623.018</v>
      </c>
      <c r="W113">
        <f t="shared" si="6"/>
        <v>545.55799999999999</v>
      </c>
      <c r="X113">
        <f t="shared" si="7"/>
        <v>33.613798491452343</v>
      </c>
      <c r="Y113">
        <f t="shared" si="8"/>
        <v>3</v>
      </c>
      <c r="Z113" t="str" cm="1">
        <f t="array" ref="Z113">_xlfn.IFS(Y113&lt;0, "Invalid Date", ISBLANK(G113), "Missing Region", TRUE, "Clean")</f>
        <v>Clean</v>
      </c>
    </row>
    <row r="114" spans="1:26">
      <c r="A114" t="s">
        <v>335</v>
      </c>
      <c r="B114" s="4">
        <v>45566</v>
      </c>
      <c r="C114" s="6">
        <v>45305</v>
      </c>
      <c r="D114" t="s">
        <v>2034</v>
      </c>
      <c r="E114" t="s">
        <v>114</v>
      </c>
      <c r="F114" t="s">
        <v>23</v>
      </c>
      <c r="G114" t="s">
        <v>2806</v>
      </c>
      <c r="H114" t="s">
        <v>151</v>
      </c>
      <c r="I114" t="s">
        <v>152</v>
      </c>
      <c r="J114" t="s">
        <v>68</v>
      </c>
      <c r="K114" t="s">
        <v>69</v>
      </c>
      <c r="L114" t="s">
        <v>336</v>
      </c>
      <c r="M114" t="s">
        <v>55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31</v>
      </c>
      <c r="U114" t="s">
        <v>32</v>
      </c>
      <c r="V114">
        <f t="shared" si="5"/>
        <v>10914.018</v>
      </c>
      <c r="W114">
        <f t="shared" si="6"/>
        <v>4365.2780000000002</v>
      </c>
      <c r="X114">
        <f t="shared" si="7"/>
        <v>39.996983695647195</v>
      </c>
      <c r="Y114">
        <f t="shared" si="8"/>
        <v>-261</v>
      </c>
      <c r="Z114" t="str" cm="1">
        <f t="array" ref="Z114">_xlfn.IFS(Y114&lt;0, "Invalid Date", ISBLANK(G114), "Missing Region", TRUE, "Clean")</f>
        <v>Invalid Date</v>
      </c>
    </row>
    <row r="115" spans="1:26">
      <c r="A115" t="s">
        <v>337</v>
      </c>
      <c r="B115" s="4">
        <v>45628</v>
      </c>
      <c r="C115" s="6">
        <v>45628</v>
      </c>
      <c r="D115" t="s">
        <v>2064</v>
      </c>
      <c r="E115" t="s">
        <v>44</v>
      </c>
      <c r="F115" t="s">
        <v>85</v>
      </c>
      <c r="G115" t="s">
        <v>50</v>
      </c>
      <c r="H115" t="s">
        <v>200</v>
      </c>
      <c r="I115" t="s">
        <v>201</v>
      </c>
      <c r="J115" t="s">
        <v>39</v>
      </c>
      <c r="K115" t="s">
        <v>40</v>
      </c>
      <c r="L115" t="s">
        <v>338</v>
      </c>
      <c r="M115" t="s">
        <v>55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31</v>
      </c>
      <c r="U115" t="s">
        <v>32</v>
      </c>
      <c r="V115">
        <f t="shared" si="5"/>
        <v>2450.5875000000001</v>
      </c>
      <c r="W115">
        <f t="shared" si="6"/>
        <v>810.69749999999999</v>
      </c>
      <c r="X115">
        <f t="shared" si="7"/>
        <v>33.081761006289305</v>
      </c>
      <c r="Y115">
        <f t="shared" si="8"/>
        <v>0</v>
      </c>
      <c r="Z115" t="str" cm="1">
        <f t="array" ref="Z115">_xlfn.IFS(Y115&lt;0, "Invalid Date", ISBLANK(G115), "Missing Region", TRUE, "Clean")</f>
        <v>Clean</v>
      </c>
    </row>
    <row r="116" spans="1:26">
      <c r="A116" t="s">
        <v>339</v>
      </c>
      <c r="B116" s="4">
        <v>45560</v>
      </c>
      <c r="C116" s="6">
        <v>45565</v>
      </c>
      <c r="D116" t="s">
        <v>2065</v>
      </c>
      <c r="E116" t="s">
        <v>72</v>
      </c>
      <c r="F116" t="s">
        <v>35</v>
      </c>
      <c r="G116" t="s">
        <v>24</v>
      </c>
      <c r="H116" t="s">
        <v>25</v>
      </c>
      <c r="I116" t="s">
        <v>26</v>
      </c>
      <c r="J116" t="s">
        <v>68</v>
      </c>
      <c r="K116" t="s">
        <v>69</v>
      </c>
      <c r="L116" t="s">
        <v>340</v>
      </c>
      <c r="M116" t="s">
        <v>30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98</v>
      </c>
      <c r="U116" t="s">
        <v>63</v>
      </c>
      <c r="V116">
        <f t="shared" si="5"/>
        <v>3949.56</v>
      </c>
      <c r="W116">
        <f t="shared" si="6"/>
        <v>762.82999999999993</v>
      </c>
      <c r="X116">
        <f t="shared" si="7"/>
        <v>19.314303365438175</v>
      </c>
      <c r="Y116">
        <f t="shared" si="8"/>
        <v>5</v>
      </c>
      <c r="Z116" t="str" cm="1">
        <f t="array" ref="Z116">_xlfn.IFS(Y116&lt;0, "Invalid Date", ISBLANK(G116), "Missing Region", TRUE, "Clean")</f>
        <v>Clean</v>
      </c>
    </row>
    <row r="117" spans="1:26">
      <c r="A117" t="s">
        <v>341</v>
      </c>
      <c r="B117" s="4">
        <v>45653</v>
      </c>
      <c r="C117" s="6">
        <v>45658</v>
      </c>
      <c r="D117" t="s">
        <v>2066</v>
      </c>
      <c r="E117" t="s">
        <v>212</v>
      </c>
      <c r="F117" t="s">
        <v>81</v>
      </c>
      <c r="G117" t="s">
        <v>50</v>
      </c>
      <c r="H117" t="s">
        <v>200</v>
      </c>
      <c r="I117" t="s">
        <v>201</v>
      </c>
      <c r="J117" t="s">
        <v>27</v>
      </c>
      <c r="K117" t="s">
        <v>130</v>
      </c>
      <c r="L117" t="s">
        <v>342</v>
      </c>
      <c r="M117" t="s">
        <v>42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31</v>
      </c>
      <c r="U117" t="s">
        <v>63</v>
      </c>
      <c r="V117">
        <f t="shared" si="5"/>
        <v>758.77799999999991</v>
      </c>
      <c r="W117">
        <f t="shared" si="6"/>
        <v>268.0379999999999</v>
      </c>
      <c r="X117">
        <f t="shared" si="7"/>
        <v>35.324956706704718</v>
      </c>
      <c r="Y117">
        <f t="shared" si="8"/>
        <v>5</v>
      </c>
      <c r="Z117" t="str" cm="1">
        <f t="array" ref="Z117">_xlfn.IFS(Y117&lt;0, "Invalid Date", ISBLANK(G117), "Missing Region", TRUE, "Clean")</f>
        <v>Clean</v>
      </c>
    </row>
    <row r="118" spans="1:26">
      <c r="A118" t="s">
        <v>343</v>
      </c>
      <c r="B118" s="4">
        <v>45703</v>
      </c>
      <c r="C118" s="6">
        <v>45707</v>
      </c>
      <c r="D118" t="s">
        <v>2067</v>
      </c>
      <c r="E118" t="s">
        <v>57</v>
      </c>
      <c r="F118" t="s">
        <v>35</v>
      </c>
      <c r="G118" t="s">
        <v>2806</v>
      </c>
      <c r="H118" t="s">
        <v>66</v>
      </c>
      <c r="I118" t="s">
        <v>67</v>
      </c>
      <c r="J118" t="s">
        <v>27</v>
      </c>
      <c r="K118" t="s">
        <v>130</v>
      </c>
      <c r="L118" t="s">
        <v>344</v>
      </c>
      <c r="M118" t="s">
        <v>47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132</v>
      </c>
      <c r="U118" t="s">
        <v>63</v>
      </c>
      <c r="V118">
        <f t="shared" si="5"/>
        <v>3590.9324999999999</v>
      </c>
      <c r="W118">
        <f t="shared" si="6"/>
        <v>529.54250000000002</v>
      </c>
      <c r="X118">
        <f t="shared" si="7"/>
        <v>14.746657031286443</v>
      </c>
      <c r="Y118">
        <f t="shared" si="8"/>
        <v>4</v>
      </c>
      <c r="Z118" t="str" cm="1">
        <f t="array" ref="Z118">_xlfn.IFS(Y118&lt;0, "Invalid Date", ISBLANK(G118), "Missing Region", TRUE, "Clean")</f>
        <v>Clean</v>
      </c>
    </row>
    <row r="119" spans="1:26">
      <c r="A119" t="s">
        <v>345</v>
      </c>
      <c r="B119" s="4">
        <v>45337</v>
      </c>
      <c r="C119" s="6">
        <v>45339</v>
      </c>
      <c r="D119" t="s">
        <v>2068</v>
      </c>
      <c r="E119" t="s">
        <v>34</v>
      </c>
      <c r="F119" t="s">
        <v>85</v>
      </c>
      <c r="G119" t="s">
        <v>50</v>
      </c>
      <c r="H119" t="s">
        <v>200</v>
      </c>
      <c r="I119" t="s">
        <v>201</v>
      </c>
      <c r="J119" t="s">
        <v>68</v>
      </c>
      <c r="K119" t="s">
        <v>219</v>
      </c>
      <c r="L119" t="s">
        <v>346</v>
      </c>
      <c r="M119" t="s">
        <v>55</v>
      </c>
      <c r="N119">
        <v>9</v>
      </c>
      <c r="O119">
        <v>3324.55</v>
      </c>
      <c r="P119" t="s">
        <v>347</v>
      </c>
      <c r="Q119">
        <v>25432.81</v>
      </c>
      <c r="R119">
        <v>20370.16</v>
      </c>
      <c r="S119">
        <v>5062.6499999999996</v>
      </c>
      <c r="T119" t="s">
        <v>31</v>
      </c>
      <c r="U119" t="s">
        <v>32</v>
      </c>
      <c r="V119">
        <f t="shared" si="5"/>
        <v>8976.2850000000017</v>
      </c>
      <c r="W119">
        <f t="shared" si="6"/>
        <v>-11393.874999999998</v>
      </c>
      <c r="X119">
        <f t="shared" si="7"/>
        <v>-126.93307977632166</v>
      </c>
      <c r="Y119">
        <f t="shared" si="8"/>
        <v>2</v>
      </c>
      <c r="Z119" t="str" cm="1">
        <f t="array" ref="Z119">_xlfn.IFS(Y119&lt;0, "Invalid Date", ISBLANK(G119), "Missing Region", TRUE, "Clean")</f>
        <v>Clean</v>
      </c>
    </row>
    <row r="120" spans="1:26">
      <c r="A120" t="s">
        <v>348</v>
      </c>
      <c r="B120" s="4">
        <v>45453</v>
      </c>
      <c r="C120" s="6">
        <v>45461</v>
      </c>
      <c r="D120" t="s">
        <v>2069</v>
      </c>
      <c r="E120" t="s">
        <v>65</v>
      </c>
      <c r="F120" t="s">
        <v>85</v>
      </c>
      <c r="G120" t="s">
        <v>50</v>
      </c>
      <c r="H120" t="s">
        <v>76</v>
      </c>
      <c r="I120" t="s">
        <v>77</v>
      </c>
      <c r="J120" t="s">
        <v>68</v>
      </c>
      <c r="K120" t="s">
        <v>73</v>
      </c>
      <c r="L120" t="s">
        <v>349</v>
      </c>
      <c r="M120" t="s">
        <v>42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31</v>
      </c>
      <c r="U120" t="s">
        <v>32</v>
      </c>
      <c r="V120">
        <f t="shared" si="5"/>
        <v>6321.0800000000008</v>
      </c>
      <c r="W120">
        <f t="shared" si="6"/>
        <v>1913.8600000000006</v>
      </c>
      <c r="X120">
        <f t="shared" si="7"/>
        <v>30.277420947053358</v>
      </c>
      <c r="Y120">
        <f t="shared" si="8"/>
        <v>8</v>
      </c>
      <c r="Z120" t="str" cm="1">
        <f t="array" ref="Z120">_xlfn.IFS(Y120&lt;0, "Invalid Date", ISBLANK(G120), "Missing Region", TRUE, "Clean")</f>
        <v>Clean</v>
      </c>
    </row>
    <row r="121" spans="1:26">
      <c r="A121" t="s">
        <v>350</v>
      </c>
      <c r="B121" s="4">
        <v>45632</v>
      </c>
      <c r="C121" s="6">
        <v>45462</v>
      </c>
      <c r="D121" t="s">
        <v>2070</v>
      </c>
      <c r="E121" t="s">
        <v>80</v>
      </c>
      <c r="F121" t="s">
        <v>35</v>
      </c>
      <c r="G121" t="s">
        <v>50</v>
      </c>
      <c r="H121" t="s">
        <v>155</v>
      </c>
      <c r="I121" t="s">
        <v>156</v>
      </c>
      <c r="J121" t="s">
        <v>39</v>
      </c>
      <c r="K121" t="s">
        <v>61</v>
      </c>
      <c r="L121" t="s">
        <v>351</v>
      </c>
      <c r="M121" t="s">
        <v>55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91</v>
      </c>
      <c r="U121" t="s">
        <v>92</v>
      </c>
      <c r="V121">
        <f t="shared" si="5"/>
        <v>1884.3000000000002</v>
      </c>
      <c r="W121">
        <f t="shared" si="6"/>
        <v>366.61000000000013</v>
      </c>
      <c r="X121">
        <f t="shared" si="7"/>
        <v>19.456031417502526</v>
      </c>
      <c r="Y121">
        <f t="shared" si="8"/>
        <v>-170</v>
      </c>
      <c r="Z121" t="str" cm="1">
        <f t="array" ref="Z121">_xlfn.IFS(Y121&lt;0, "Invalid Date", ISBLANK(G121), "Missing Region", TRUE, "Clean")</f>
        <v>Invalid Date</v>
      </c>
    </row>
    <row r="122" spans="1:26">
      <c r="A122" t="s">
        <v>352</v>
      </c>
      <c r="B122" s="4">
        <v>45573</v>
      </c>
      <c r="C122" s="6">
        <v>45522</v>
      </c>
      <c r="D122" t="s">
        <v>2071</v>
      </c>
      <c r="E122" t="s">
        <v>114</v>
      </c>
      <c r="F122" t="s">
        <v>35</v>
      </c>
      <c r="G122" t="s">
        <v>36</v>
      </c>
      <c r="H122" t="s">
        <v>124</v>
      </c>
      <c r="I122" t="s">
        <v>125</v>
      </c>
      <c r="J122" t="s">
        <v>68</v>
      </c>
      <c r="K122" t="s">
        <v>144</v>
      </c>
      <c r="L122" t="s">
        <v>353</v>
      </c>
      <c r="M122" t="s">
        <v>55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31</v>
      </c>
      <c r="U122" t="s">
        <v>92</v>
      </c>
      <c r="V122">
        <f t="shared" si="5"/>
        <v>1458.9360000000001</v>
      </c>
      <c r="W122">
        <f t="shared" si="6"/>
        <v>565.7360000000001</v>
      </c>
      <c r="X122">
        <f t="shared" si="7"/>
        <v>38.777300717783376</v>
      </c>
      <c r="Y122">
        <f t="shared" si="8"/>
        <v>-51</v>
      </c>
      <c r="Z122" t="str" cm="1">
        <f t="array" ref="Z122">_xlfn.IFS(Y122&lt;0, "Invalid Date", ISBLANK(G122), "Missing Region", TRUE, "Clean")</f>
        <v>Invalid Date</v>
      </c>
    </row>
    <row r="123" spans="1:26">
      <c r="A123" t="s">
        <v>354</v>
      </c>
      <c r="B123" s="4">
        <v>45891</v>
      </c>
      <c r="C123" s="6">
        <v>45895</v>
      </c>
      <c r="D123" t="s">
        <v>2072</v>
      </c>
      <c r="E123" t="s">
        <v>212</v>
      </c>
      <c r="F123" t="s">
        <v>35</v>
      </c>
      <c r="G123" t="s">
        <v>50</v>
      </c>
      <c r="H123" t="s">
        <v>76</v>
      </c>
      <c r="I123" t="s">
        <v>77</v>
      </c>
      <c r="J123" t="s">
        <v>68</v>
      </c>
      <c r="K123" t="s">
        <v>219</v>
      </c>
      <c r="L123" t="s">
        <v>355</v>
      </c>
      <c r="M123" t="s">
        <v>30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91</v>
      </c>
      <c r="U123" t="s">
        <v>63</v>
      </c>
      <c r="V123">
        <f t="shared" si="5"/>
        <v>17414.599999999999</v>
      </c>
      <c r="W123">
        <f t="shared" si="6"/>
        <v>5653.6899999999987</v>
      </c>
      <c r="X123">
        <f t="shared" si="7"/>
        <v>32.465230323981018</v>
      </c>
      <c r="Y123">
        <f t="shared" si="8"/>
        <v>4</v>
      </c>
      <c r="Z123" t="str" cm="1">
        <f t="array" ref="Z123">_xlfn.IFS(Y123&lt;0, "Invalid Date", ISBLANK(G123), "Missing Region", TRUE, "Clean")</f>
        <v>Clean</v>
      </c>
    </row>
    <row r="124" spans="1:26">
      <c r="A124" t="s">
        <v>356</v>
      </c>
      <c r="B124" s="4">
        <v>45626</v>
      </c>
      <c r="C124" s="6">
        <v>45394</v>
      </c>
      <c r="D124" t="s">
        <v>2073</v>
      </c>
      <c r="E124" t="s">
        <v>57</v>
      </c>
      <c r="F124" t="s">
        <v>35</v>
      </c>
      <c r="G124" t="s">
        <v>36</v>
      </c>
      <c r="H124" t="s">
        <v>140</v>
      </c>
      <c r="I124" t="s">
        <v>141</v>
      </c>
      <c r="J124" t="s">
        <v>39</v>
      </c>
      <c r="K124" t="s">
        <v>61</v>
      </c>
      <c r="L124" t="s">
        <v>357</v>
      </c>
      <c r="M124" t="s">
        <v>30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31</v>
      </c>
      <c r="U124" t="s">
        <v>32</v>
      </c>
      <c r="V124">
        <f t="shared" si="5"/>
        <v>511.04999999999995</v>
      </c>
      <c r="W124">
        <f t="shared" si="6"/>
        <v>143.86999999999995</v>
      </c>
      <c r="X124">
        <f t="shared" si="7"/>
        <v>28.151844242246348</v>
      </c>
      <c r="Y124">
        <f t="shared" si="8"/>
        <v>-232</v>
      </c>
      <c r="Z124" t="str" cm="1">
        <f t="array" ref="Z124">_xlfn.IFS(Y124&lt;0, "Invalid Date", ISBLANK(G124), "Missing Region", TRUE, "Clean")</f>
        <v>Invalid Date</v>
      </c>
    </row>
    <row r="125" spans="1:26">
      <c r="A125" t="s">
        <v>358</v>
      </c>
      <c r="B125" s="4">
        <v>45436</v>
      </c>
      <c r="C125" s="6">
        <v>45437</v>
      </c>
      <c r="D125" t="s">
        <v>2074</v>
      </c>
      <c r="E125" t="s">
        <v>114</v>
      </c>
      <c r="F125" t="s">
        <v>35</v>
      </c>
      <c r="G125" t="s">
        <v>24</v>
      </c>
      <c r="H125" t="s">
        <v>106</v>
      </c>
      <c r="I125" t="s">
        <v>107</v>
      </c>
      <c r="J125" t="s">
        <v>68</v>
      </c>
      <c r="K125" t="s">
        <v>73</v>
      </c>
      <c r="L125" t="s">
        <v>359</v>
      </c>
      <c r="M125" t="s">
        <v>42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91</v>
      </c>
      <c r="U125" t="s">
        <v>63</v>
      </c>
      <c r="V125">
        <f t="shared" si="5"/>
        <v>634.13</v>
      </c>
      <c r="W125">
        <f t="shared" si="6"/>
        <v>180.77999999999997</v>
      </c>
      <c r="X125">
        <f t="shared" si="7"/>
        <v>28.508350022865969</v>
      </c>
      <c r="Y125">
        <f t="shared" si="8"/>
        <v>1</v>
      </c>
      <c r="Z125" t="str" cm="1">
        <f t="array" ref="Z125">_xlfn.IFS(Y125&lt;0, "Invalid Date", ISBLANK(G125), "Missing Region", TRUE, "Clean")</f>
        <v>Clean</v>
      </c>
    </row>
    <row r="126" spans="1:26">
      <c r="A126" t="s">
        <v>360</v>
      </c>
      <c r="B126" s="4">
        <v>45494</v>
      </c>
      <c r="C126" s="6">
        <v>45497</v>
      </c>
      <c r="D126" t="s">
        <v>2075</v>
      </c>
      <c r="E126" t="s">
        <v>44</v>
      </c>
      <c r="F126" t="s">
        <v>81</v>
      </c>
      <c r="G126" t="s">
        <v>50</v>
      </c>
      <c r="H126" t="s">
        <v>147</v>
      </c>
      <c r="I126" t="s">
        <v>148</v>
      </c>
      <c r="J126" t="s">
        <v>68</v>
      </c>
      <c r="K126" t="s">
        <v>73</v>
      </c>
      <c r="L126" t="s">
        <v>361</v>
      </c>
      <c r="M126" t="s">
        <v>55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31</v>
      </c>
      <c r="U126" t="s">
        <v>32</v>
      </c>
      <c r="V126">
        <f t="shared" si="5"/>
        <v>4813.3709999999992</v>
      </c>
      <c r="W126">
        <f t="shared" si="6"/>
        <v>1369.6309999999994</v>
      </c>
      <c r="X126">
        <f t="shared" si="7"/>
        <v>28.454715001191467</v>
      </c>
      <c r="Y126">
        <f t="shared" si="8"/>
        <v>3</v>
      </c>
      <c r="Z126" t="str" cm="1">
        <f t="array" ref="Z126">_xlfn.IFS(Y126&lt;0, "Invalid Date", ISBLANK(G126), "Missing Region", TRUE, "Clean")</f>
        <v>Clean</v>
      </c>
    </row>
    <row r="127" spans="1:26">
      <c r="A127" t="s">
        <v>362</v>
      </c>
      <c r="B127" s="4">
        <v>45855</v>
      </c>
      <c r="C127" s="6">
        <v>45856</v>
      </c>
      <c r="D127" t="s">
        <v>2076</v>
      </c>
      <c r="E127" t="s">
        <v>72</v>
      </c>
      <c r="F127" t="s">
        <v>35</v>
      </c>
      <c r="G127" t="s">
        <v>58</v>
      </c>
      <c r="H127" t="s">
        <v>25</v>
      </c>
      <c r="I127" t="s">
        <v>96</v>
      </c>
      <c r="J127" t="s">
        <v>39</v>
      </c>
      <c r="K127" t="s">
        <v>40</v>
      </c>
      <c r="L127" t="s">
        <v>363</v>
      </c>
      <c r="M127" t="s">
        <v>42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91</v>
      </c>
      <c r="U127" t="s">
        <v>92</v>
      </c>
      <c r="V127">
        <f t="shared" si="5"/>
        <v>14558.715</v>
      </c>
      <c r="W127">
        <f t="shared" si="6"/>
        <v>4967.2350000000006</v>
      </c>
      <c r="X127">
        <f t="shared" si="7"/>
        <v>34.118636157105904</v>
      </c>
      <c r="Y127">
        <f t="shared" si="8"/>
        <v>1</v>
      </c>
      <c r="Z127" t="str" cm="1">
        <f t="array" ref="Z127">_xlfn.IFS(Y127&lt;0, "Invalid Date", ISBLANK(G127), "Missing Region", TRUE, "Clean")</f>
        <v>Clean</v>
      </c>
    </row>
    <row r="128" spans="1:26">
      <c r="A128" t="s">
        <v>364</v>
      </c>
      <c r="B128" s="4">
        <v>45924</v>
      </c>
      <c r="C128" s="6">
        <v>45926</v>
      </c>
      <c r="D128" t="s">
        <v>2077</v>
      </c>
      <c r="E128" t="s">
        <v>100</v>
      </c>
      <c r="F128" t="s">
        <v>81</v>
      </c>
      <c r="G128" t="s">
        <v>24</v>
      </c>
      <c r="H128" t="s">
        <v>270</v>
      </c>
      <c r="I128" t="s">
        <v>271</v>
      </c>
      <c r="J128" t="s">
        <v>68</v>
      </c>
      <c r="K128" t="s">
        <v>73</v>
      </c>
      <c r="L128" t="s">
        <v>365</v>
      </c>
      <c r="M128" t="s">
        <v>55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31</v>
      </c>
      <c r="U128" t="s">
        <v>32</v>
      </c>
      <c r="V128">
        <f t="shared" si="5"/>
        <v>4303.4220000000005</v>
      </c>
      <c r="W128">
        <f t="shared" si="6"/>
        <v>1734.8520000000003</v>
      </c>
      <c r="X128">
        <f t="shared" si="7"/>
        <v>40.313313451481179</v>
      </c>
      <c r="Y128">
        <f t="shared" si="8"/>
        <v>2</v>
      </c>
      <c r="Z128" t="str" cm="1">
        <f t="array" ref="Z128">_xlfn.IFS(Y128&lt;0, "Invalid Date", ISBLANK(G128), "Missing Region", TRUE, "Clean")</f>
        <v>Clean</v>
      </c>
    </row>
    <row r="129" spans="1:26">
      <c r="A129" t="s">
        <v>366</v>
      </c>
      <c r="B129" s="4">
        <v>45687</v>
      </c>
      <c r="C129" s="6">
        <v>45683</v>
      </c>
      <c r="D129" t="s">
        <v>2078</v>
      </c>
      <c r="E129" t="s">
        <v>100</v>
      </c>
      <c r="F129" t="s">
        <v>81</v>
      </c>
      <c r="G129" t="s">
        <v>58</v>
      </c>
      <c r="H129" t="s">
        <v>66</v>
      </c>
      <c r="I129" t="s">
        <v>67</v>
      </c>
      <c r="J129" t="s">
        <v>27</v>
      </c>
      <c r="K129" t="s">
        <v>108</v>
      </c>
      <c r="L129" t="s">
        <v>367</v>
      </c>
      <c r="M129" t="s">
        <v>30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31</v>
      </c>
      <c r="U129" t="s">
        <v>32</v>
      </c>
      <c r="V129">
        <f t="shared" si="5"/>
        <v>5774.67</v>
      </c>
      <c r="W129">
        <f t="shared" si="6"/>
        <v>2256.31</v>
      </c>
      <c r="X129">
        <f t="shared" si="7"/>
        <v>39.072535746631409</v>
      </c>
      <c r="Y129">
        <f t="shared" si="8"/>
        <v>-4</v>
      </c>
      <c r="Z129" t="str" cm="1">
        <f t="array" ref="Z129">_xlfn.IFS(Y129&lt;0, "Invalid Date", ISBLANK(G129), "Missing Region", TRUE, "Clean")</f>
        <v>Invalid Date</v>
      </c>
    </row>
    <row r="130" spans="1:26">
      <c r="A130" t="s">
        <v>368</v>
      </c>
      <c r="B130" s="4">
        <v>45639</v>
      </c>
      <c r="C130" s="6">
        <v>45642</v>
      </c>
      <c r="D130" t="s">
        <v>2079</v>
      </c>
      <c r="E130" t="s">
        <v>72</v>
      </c>
      <c r="F130" t="s">
        <v>35</v>
      </c>
      <c r="G130" t="s">
        <v>36</v>
      </c>
      <c r="H130" t="s">
        <v>37</v>
      </c>
      <c r="I130" t="s">
        <v>38</v>
      </c>
      <c r="J130" t="s">
        <v>39</v>
      </c>
      <c r="K130" t="s">
        <v>53</v>
      </c>
      <c r="L130" t="s">
        <v>369</v>
      </c>
      <c r="M130" t="s">
        <v>55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31</v>
      </c>
      <c r="U130" t="s">
        <v>92</v>
      </c>
      <c r="V130">
        <f t="shared" si="5"/>
        <v>4386.3874999999998</v>
      </c>
      <c r="W130">
        <f t="shared" si="6"/>
        <v>1019.5074999999997</v>
      </c>
      <c r="X130">
        <f t="shared" si="7"/>
        <v>23.242531582082059</v>
      </c>
      <c r="Y130">
        <f t="shared" si="8"/>
        <v>3</v>
      </c>
      <c r="Z130" t="str" cm="1">
        <f t="array" ref="Z130">_xlfn.IFS(Y130&lt;0, "Invalid Date", ISBLANK(G130), "Missing Region", TRUE, "Clean")</f>
        <v>Clean</v>
      </c>
    </row>
    <row r="131" spans="1:26">
      <c r="A131" t="s">
        <v>370</v>
      </c>
      <c r="B131" s="4">
        <v>45492</v>
      </c>
      <c r="C131" s="6">
        <v>45498</v>
      </c>
      <c r="D131" t="s">
        <v>2080</v>
      </c>
      <c r="E131" t="s">
        <v>44</v>
      </c>
      <c r="F131" t="s">
        <v>35</v>
      </c>
      <c r="G131" t="s">
        <v>58</v>
      </c>
      <c r="H131" t="s">
        <v>159</v>
      </c>
      <c r="I131" t="s">
        <v>160</v>
      </c>
      <c r="J131" t="s">
        <v>27</v>
      </c>
      <c r="K131" t="s">
        <v>130</v>
      </c>
      <c r="L131" t="s">
        <v>371</v>
      </c>
      <c r="M131" t="s">
        <v>55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31</v>
      </c>
      <c r="U131" t="s">
        <v>32</v>
      </c>
      <c r="V131">
        <f t="shared" ref="V131:V194" si="9">N131*O131*(1- P131)</f>
        <v>18229.5785</v>
      </c>
      <c r="W131">
        <f t="shared" ref="W131:W194" si="10">V131-R131</f>
        <v>3090.4285</v>
      </c>
      <c r="X131">
        <f t="shared" ref="X131:X194" si="11">W131/V131*100</f>
        <v>16.952824773211294</v>
      </c>
      <c r="Y131">
        <f t="shared" si="8"/>
        <v>6</v>
      </c>
      <c r="Z131" t="str" cm="1">
        <f t="array" ref="Z131">_xlfn.IFS(Y131&lt;0, "Invalid Date", ISBLANK(G131), "Missing Region", TRUE, "Clean")</f>
        <v>Clean</v>
      </c>
    </row>
    <row r="132" spans="1:26">
      <c r="A132" t="s">
        <v>372</v>
      </c>
      <c r="B132" s="4">
        <v>45318</v>
      </c>
      <c r="C132" s="6">
        <v>45324</v>
      </c>
      <c r="D132" t="s">
        <v>2081</v>
      </c>
      <c r="E132" t="s">
        <v>49</v>
      </c>
      <c r="F132" t="s">
        <v>23</v>
      </c>
      <c r="G132" t="s">
        <v>58</v>
      </c>
      <c r="H132" t="s">
        <v>151</v>
      </c>
      <c r="I132" t="s">
        <v>152</v>
      </c>
      <c r="J132" t="s">
        <v>27</v>
      </c>
      <c r="K132" t="s">
        <v>82</v>
      </c>
      <c r="L132" t="s">
        <v>373</v>
      </c>
      <c r="M132" t="s">
        <v>42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98</v>
      </c>
      <c r="U132" t="s">
        <v>63</v>
      </c>
      <c r="V132">
        <f t="shared" si="9"/>
        <v>873.68</v>
      </c>
      <c r="W132">
        <f t="shared" si="10"/>
        <v>211.95999999999992</v>
      </c>
      <c r="X132">
        <f t="shared" si="11"/>
        <v>24.260598846259494</v>
      </c>
      <c r="Y132">
        <f t="shared" si="8"/>
        <v>6</v>
      </c>
      <c r="Z132" t="str" cm="1">
        <f t="array" ref="Z132">_xlfn.IFS(Y132&lt;0, "Invalid Date", ISBLANK(G132), "Missing Region", TRUE, "Clean")</f>
        <v>Clean</v>
      </c>
    </row>
    <row r="133" spans="1:26">
      <c r="A133" t="s">
        <v>374</v>
      </c>
      <c r="B133" s="4">
        <v>45929</v>
      </c>
      <c r="C133" s="6">
        <v>45757</v>
      </c>
      <c r="D133" t="s">
        <v>2082</v>
      </c>
      <c r="E133" t="s">
        <v>57</v>
      </c>
      <c r="F133" t="s">
        <v>85</v>
      </c>
      <c r="G133" t="s">
        <v>36</v>
      </c>
      <c r="H133" t="s">
        <v>186</v>
      </c>
      <c r="I133" t="s">
        <v>187</v>
      </c>
      <c r="J133" t="s">
        <v>27</v>
      </c>
      <c r="K133" t="s">
        <v>28</v>
      </c>
      <c r="L133" t="s">
        <v>375</v>
      </c>
      <c r="M133" t="s">
        <v>42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31</v>
      </c>
      <c r="U133" t="s">
        <v>32</v>
      </c>
      <c r="V133">
        <f t="shared" si="9"/>
        <v>2692.152</v>
      </c>
      <c r="W133">
        <f t="shared" si="10"/>
        <v>647.66200000000003</v>
      </c>
      <c r="X133">
        <f t="shared" si="11"/>
        <v>24.057408348414207</v>
      </c>
      <c r="Y133">
        <f t="shared" si="8"/>
        <v>-172</v>
      </c>
      <c r="Z133" t="str" cm="1">
        <f t="array" ref="Z133">_xlfn.IFS(Y133&lt;0, "Invalid Date", ISBLANK(G133), "Missing Region", TRUE, "Clean")</f>
        <v>Invalid Date</v>
      </c>
    </row>
    <row r="134" spans="1:26">
      <c r="A134" t="s">
        <v>376</v>
      </c>
      <c r="B134" s="4">
        <v>45393</v>
      </c>
      <c r="C134" s="6">
        <v>45393</v>
      </c>
      <c r="D134" t="s">
        <v>2083</v>
      </c>
      <c r="E134" t="s">
        <v>212</v>
      </c>
      <c r="F134" t="s">
        <v>81</v>
      </c>
      <c r="G134" t="s">
        <v>36</v>
      </c>
      <c r="H134" t="s">
        <v>140</v>
      </c>
      <c r="I134" t="s">
        <v>141</v>
      </c>
      <c r="J134" t="s">
        <v>68</v>
      </c>
      <c r="K134" t="s">
        <v>219</v>
      </c>
      <c r="L134" t="s">
        <v>377</v>
      </c>
      <c r="M134" t="s">
        <v>47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132</v>
      </c>
      <c r="U134" t="s">
        <v>63</v>
      </c>
      <c r="V134">
        <f t="shared" si="9"/>
        <v>1066.1600000000001</v>
      </c>
      <c r="W134">
        <f t="shared" si="10"/>
        <v>409.86000000000013</v>
      </c>
      <c r="X134">
        <f t="shared" si="11"/>
        <v>38.442635251744591</v>
      </c>
      <c r="Y134">
        <f t="shared" si="8"/>
        <v>0</v>
      </c>
      <c r="Z134" t="str" cm="1">
        <f t="array" ref="Z134">_xlfn.IFS(Y134&lt;0, "Invalid Date", ISBLANK(G134), "Missing Region", TRUE, "Clean")</f>
        <v>Clean</v>
      </c>
    </row>
    <row r="135" spans="1:26">
      <c r="A135" t="s">
        <v>378</v>
      </c>
      <c r="B135" s="4">
        <v>45639</v>
      </c>
      <c r="C135" s="6">
        <v>45644</v>
      </c>
      <c r="D135" t="s">
        <v>2084</v>
      </c>
      <c r="E135" t="s">
        <v>22</v>
      </c>
      <c r="F135" t="s">
        <v>23</v>
      </c>
      <c r="G135" t="s">
        <v>58</v>
      </c>
      <c r="H135" t="s">
        <v>159</v>
      </c>
      <c r="I135" t="s">
        <v>160</v>
      </c>
      <c r="J135" t="s">
        <v>68</v>
      </c>
      <c r="K135" t="s">
        <v>144</v>
      </c>
      <c r="L135" t="s">
        <v>379</v>
      </c>
      <c r="M135" t="s">
        <v>30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31</v>
      </c>
      <c r="U135" t="s">
        <v>32</v>
      </c>
      <c r="V135">
        <f t="shared" si="9"/>
        <v>22930.62</v>
      </c>
      <c r="W135">
        <f t="shared" si="10"/>
        <v>6055.07</v>
      </c>
      <c r="X135">
        <f t="shared" si="11"/>
        <v>26.406045715292475</v>
      </c>
      <c r="Y135">
        <f t="shared" ref="Y135:Y198" si="12">C135-B135</f>
        <v>5</v>
      </c>
      <c r="Z135" t="str" cm="1">
        <f t="array" ref="Z135">_xlfn.IFS(Y135&lt;0, "Invalid Date", ISBLANK(G135), "Missing Region", TRUE, "Clean")</f>
        <v>Clean</v>
      </c>
    </row>
    <row r="136" spans="1:26">
      <c r="A136" t="s">
        <v>380</v>
      </c>
      <c r="B136" s="4">
        <v>45852</v>
      </c>
      <c r="C136" s="6">
        <v>45852</v>
      </c>
      <c r="D136" t="s">
        <v>2085</v>
      </c>
      <c r="E136" t="s">
        <v>65</v>
      </c>
      <c r="F136" t="s">
        <v>85</v>
      </c>
      <c r="G136" t="s">
        <v>36</v>
      </c>
      <c r="H136" t="s">
        <v>88</v>
      </c>
      <c r="I136" t="s">
        <v>89</v>
      </c>
      <c r="J136" t="s">
        <v>39</v>
      </c>
      <c r="K136" t="s">
        <v>134</v>
      </c>
      <c r="L136" t="s">
        <v>381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98</v>
      </c>
      <c r="U136" t="s">
        <v>63</v>
      </c>
      <c r="V136">
        <f t="shared" si="9"/>
        <v>1436.625</v>
      </c>
      <c r="W136">
        <f t="shared" si="10"/>
        <v>524.10500000000002</v>
      </c>
      <c r="X136">
        <f t="shared" si="11"/>
        <v>36.481684503610893</v>
      </c>
      <c r="Y136">
        <f t="shared" si="12"/>
        <v>0</v>
      </c>
      <c r="Z136" t="str" cm="1">
        <f t="array" ref="Z136">_xlfn.IFS(Y136&lt;0, "Invalid Date", ISBLANK(G136), "Missing Region", TRUE, "Clean")</f>
        <v>Clean</v>
      </c>
    </row>
    <row r="137" spans="1:26">
      <c r="A137" t="s">
        <v>382</v>
      </c>
      <c r="B137" s="4">
        <v>45893</v>
      </c>
      <c r="C137" s="6">
        <v>45893</v>
      </c>
      <c r="D137" t="s">
        <v>2086</v>
      </c>
      <c r="E137" t="s">
        <v>137</v>
      </c>
      <c r="F137" t="s">
        <v>35</v>
      </c>
      <c r="G137" t="s">
        <v>50</v>
      </c>
      <c r="H137" t="s">
        <v>155</v>
      </c>
      <c r="I137" t="s">
        <v>156</v>
      </c>
      <c r="J137" t="s">
        <v>39</v>
      </c>
      <c r="K137" t="s">
        <v>134</v>
      </c>
      <c r="L137" t="s">
        <v>383</v>
      </c>
      <c r="M137" t="s">
        <v>55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31</v>
      </c>
      <c r="U137" t="s">
        <v>32</v>
      </c>
      <c r="V137">
        <f t="shared" si="9"/>
        <v>3424.78</v>
      </c>
      <c r="W137">
        <f t="shared" si="10"/>
        <v>1473.3300000000002</v>
      </c>
      <c r="X137">
        <f t="shared" si="11"/>
        <v>43.019697615613268</v>
      </c>
      <c r="Y137">
        <f t="shared" si="12"/>
        <v>0</v>
      </c>
      <c r="Z137" t="str" cm="1">
        <f t="array" ref="Z137">_xlfn.IFS(Y137&lt;0, "Invalid Date", ISBLANK(G137), "Missing Region", TRUE, "Clean")</f>
        <v>Clean</v>
      </c>
    </row>
    <row r="138" spans="1:26">
      <c r="A138" t="s">
        <v>384</v>
      </c>
      <c r="B138" s="4">
        <v>45902</v>
      </c>
      <c r="C138" s="6">
        <v>45703</v>
      </c>
      <c r="D138" t="s">
        <v>2087</v>
      </c>
      <c r="E138" t="s">
        <v>34</v>
      </c>
      <c r="F138" t="s">
        <v>85</v>
      </c>
      <c r="G138" t="s">
        <v>36</v>
      </c>
      <c r="H138" t="s">
        <v>186</v>
      </c>
      <c r="I138" t="s">
        <v>187</v>
      </c>
      <c r="J138" t="s">
        <v>27</v>
      </c>
      <c r="K138" t="s">
        <v>130</v>
      </c>
      <c r="L138" t="s">
        <v>385</v>
      </c>
      <c r="M138" t="s">
        <v>386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31</v>
      </c>
      <c r="U138" t="s">
        <v>32</v>
      </c>
      <c r="V138">
        <f t="shared" si="9"/>
        <v>31178.376000000004</v>
      </c>
      <c r="W138">
        <f t="shared" si="10"/>
        <v>9757.2860000000037</v>
      </c>
      <c r="X138">
        <f t="shared" si="11"/>
        <v>31.29504243582155</v>
      </c>
      <c r="Y138">
        <f t="shared" si="12"/>
        <v>-199</v>
      </c>
      <c r="Z138" t="str" cm="1">
        <f t="array" ref="Z138">_xlfn.IFS(Y138&lt;0, "Invalid Date", ISBLANK(G138), "Missing Region", TRUE, "Clean")</f>
        <v>Invalid Date</v>
      </c>
    </row>
    <row r="139" spans="1:26">
      <c r="A139" t="s">
        <v>387</v>
      </c>
      <c r="B139" s="4">
        <v>45666</v>
      </c>
      <c r="C139" s="6">
        <v>45901</v>
      </c>
      <c r="D139" t="s">
        <v>2088</v>
      </c>
      <c r="E139" t="s">
        <v>114</v>
      </c>
      <c r="F139" t="s">
        <v>35</v>
      </c>
      <c r="G139" t="s">
        <v>24</v>
      </c>
      <c r="H139" t="s">
        <v>25</v>
      </c>
      <c r="I139" t="s">
        <v>26</v>
      </c>
      <c r="J139" t="s">
        <v>39</v>
      </c>
      <c r="K139" t="s">
        <v>61</v>
      </c>
      <c r="L139" t="s">
        <v>388</v>
      </c>
      <c r="M139" t="s">
        <v>42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31</v>
      </c>
      <c r="U139" t="s">
        <v>32</v>
      </c>
      <c r="V139">
        <f t="shared" si="9"/>
        <v>19202.904000000002</v>
      </c>
      <c r="W139">
        <f t="shared" si="10"/>
        <v>3676.2840000000015</v>
      </c>
      <c r="X139">
        <f t="shared" si="11"/>
        <v>19.14441690694283</v>
      </c>
      <c r="Y139">
        <f t="shared" si="12"/>
        <v>235</v>
      </c>
      <c r="Z139" t="str" cm="1">
        <f t="array" ref="Z139">_xlfn.IFS(Y139&lt;0, "Invalid Date", ISBLANK(G139), "Missing Region", TRUE, "Clean")</f>
        <v>Clean</v>
      </c>
    </row>
    <row r="140" spans="1:26">
      <c r="A140" t="s">
        <v>389</v>
      </c>
      <c r="B140" s="4">
        <v>45311</v>
      </c>
      <c r="C140" s="6">
        <v>45317</v>
      </c>
      <c r="D140" t="s">
        <v>2089</v>
      </c>
      <c r="E140" t="s">
        <v>137</v>
      </c>
      <c r="F140" t="s">
        <v>85</v>
      </c>
      <c r="G140" t="s">
        <v>36</v>
      </c>
      <c r="H140" t="s">
        <v>186</v>
      </c>
      <c r="I140" t="s">
        <v>187</v>
      </c>
      <c r="J140" t="s">
        <v>68</v>
      </c>
      <c r="K140" t="s">
        <v>219</v>
      </c>
      <c r="L140" t="s">
        <v>390</v>
      </c>
      <c r="M140" t="s">
        <v>55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31</v>
      </c>
      <c r="U140" t="s">
        <v>32</v>
      </c>
      <c r="V140">
        <f t="shared" si="9"/>
        <v>24018.300000000003</v>
      </c>
      <c r="W140">
        <f t="shared" si="10"/>
        <v>9947.5200000000023</v>
      </c>
      <c r="X140">
        <f t="shared" si="11"/>
        <v>41.416419979765436</v>
      </c>
      <c r="Y140">
        <f t="shared" si="12"/>
        <v>6</v>
      </c>
      <c r="Z140" t="str" cm="1">
        <f t="array" ref="Z140">_xlfn.IFS(Y140&lt;0, "Invalid Date", ISBLANK(G140), "Missing Region", TRUE, "Clean")</f>
        <v>Clean</v>
      </c>
    </row>
    <row r="141" spans="1:26">
      <c r="A141" t="s">
        <v>391</v>
      </c>
      <c r="B141" s="4">
        <v>45718</v>
      </c>
      <c r="C141" s="6">
        <v>45841</v>
      </c>
      <c r="D141" t="s">
        <v>2090</v>
      </c>
      <c r="E141" t="s">
        <v>72</v>
      </c>
      <c r="F141" t="s">
        <v>85</v>
      </c>
      <c r="G141" t="s">
        <v>50</v>
      </c>
      <c r="H141" t="s">
        <v>147</v>
      </c>
      <c r="I141" t="s">
        <v>148</v>
      </c>
      <c r="J141" t="s">
        <v>27</v>
      </c>
      <c r="K141" t="s">
        <v>82</v>
      </c>
      <c r="L141" t="s">
        <v>392</v>
      </c>
      <c r="M141" t="s">
        <v>55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31</v>
      </c>
      <c r="U141" t="s">
        <v>32</v>
      </c>
      <c r="V141">
        <f t="shared" si="9"/>
        <v>10301.040000000001</v>
      </c>
      <c r="W141">
        <f t="shared" si="10"/>
        <v>3736.9800000000005</v>
      </c>
      <c r="X141">
        <f t="shared" si="11"/>
        <v>36.277696232613408</v>
      </c>
      <c r="Y141">
        <f t="shared" si="12"/>
        <v>123</v>
      </c>
      <c r="Z141" t="str" cm="1">
        <f t="array" ref="Z141">_xlfn.IFS(Y141&lt;0, "Invalid Date", ISBLANK(G141), "Missing Region", TRUE, "Clean")</f>
        <v>Clean</v>
      </c>
    </row>
    <row r="142" spans="1:26">
      <c r="A142" t="s">
        <v>393</v>
      </c>
      <c r="B142" s="4">
        <v>45443</v>
      </c>
      <c r="C142" s="6">
        <v>45297</v>
      </c>
      <c r="D142" t="s">
        <v>2091</v>
      </c>
      <c r="E142" t="s">
        <v>34</v>
      </c>
      <c r="F142" t="s">
        <v>81</v>
      </c>
      <c r="G142" t="s">
        <v>50</v>
      </c>
      <c r="H142" t="s">
        <v>147</v>
      </c>
      <c r="I142" t="s">
        <v>148</v>
      </c>
      <c r="J142" t="s">
        <v>39</v>
      </c>
      <c r="K142" t="s">
        <v>134</v>
      </c>
      <c r="L142" t="s">
        <v>394</v>
      </c>
      <c r="M142" t="s">
        <v>42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31</v>
      </c>
      <c r="U142" t="s">
        <v>32</v>
      </c>
      <c r="V142">
        <f t="shared" si="9"/>
        <v>8743.6500000000015</v>
      </c>
      <c r="W142">
        <f t="shared" si="10"/>
        <v>2139.8900000000012</v>
      </c>
      <c r="X142">
        <f t="shared" si="11"/>
        <v>24.47364658923906</v>
      </c>
      <c r="Y142">
        <f t="shared" si="12"/>
        <v>-146</v>
      </c>
      <c r="Z142" t="str" cm="1">
        <f t="array" ref="Z142">_xlfn.IFS(Y142&lt;0, "Invalid Date", ISBLANK(G142), "Missing Region", TRUE, "Clean")</f>
        <v>Invalid Date</v>
      </c>
    </row>
    <row r="143" spans="1:26">
      <c r="A143" t="s">
        <v>395</v>
      </c>
      <c r="B143" s="4">
        <v>45374</v>
      </c>
      <c r="C143" s="6">
        <v>45380</v>
      </c>
      <c r="D143" t="s">
        <v>2092</v>
      </c>
      <c r="E143" t="s">
        <v>100</v>
      </c>
      <c r="F143" t="s">
        <v>81</v>
      </c>
      <c r="G143" t="s">
        <v>24</v>
      </c>
      <c r="H143" t="s">
        <v>270</v>
      </c>
      <c r="I143" t="s">
        <v>271</v>
      </c>
      <c r="J143" t="s">
        <v>39</v>
      </c>
      <c r="K143" t="s">
        <v>134</v>
      </c>
      <c r="L143" t="s">
        <v>396</v>
      </c>
      <c r="M143" t="s">
        <v>42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31</v>
      </c>
      <c r="U143" t="s">
        <v>92</v>
      </c>
      <c r="V143">
        <f t="shared" si="9"/>
        <v>3996.027</v>
      </c>
      <c r="W143">
        <f t="shared" si="10"/>
        <v>1136.5169999999998</v>
      </c>
      <c r="X143">
        <f t="shared" si="11"/>
        <v>28.441174196270442</v>
      </c>
      <c r="Y143">
        <f t="shared" si="12"/>
        <v>6</v>
      </c>
      <c r="Z143" t="str" cm="1">
        <f t="array" ref="Z143">_xlfn.IFS(Y143&lt;0, "Invalid Date", ISBLANK(G143), "Missing Region", TRUE, "Clean")</f>
        <v>Clean</v>
      </c>
    </row>
    <row r="144" spans="1:26">
      <c r="A144" t="s">
        <v>397</v>
      </c>
      <c r="B144" s="4">
        <v>45381</v>
      </c>
      <c r="C144" s="6">
        <v>45377</v>
      </c>
      <c r="D144" t="s">
        <v>2093</v>
      </c>
      <c r="E144" t="s">
        <v>80</v>
      </c>
      <c r="F144" t="s">
        <v>85</v>
      </c>
      <c r="G144" t="s">
        <v>24</v>
      </c>
      <c r="H144" t="s">
        <v>25</v>
      </c>
      <c r="I144" t="s">
        <v>26</v>
      </c>
      <c r="J144" t="s">
        <v>68</v>
      </c>
      <c r="K144" t="s">
        <v>144</v>
      </c>
      <c r="L144" t="s">
        <v>398</v>
      </c>
      <c r="M144" t="s">
        <v>30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31</v>
      </c>
      <c r="U144" t="s">
        <v>32</v>
      </c>
      <c r="V144">
        <f t="shared" si="9"/>
        <v>3857.0449999999996</v>
      </c>
      <c r="W144">
        <f t="shared" si="10"/>
        <v>1087.7849999999994</v>
      </c>
      <c r="X144">
        <f t="shared" si="11"/>
        <v>28.202548842442845</v>
      </c>
      <c r="Y144">
        <f t="shared" si="12"/>
        <v>-4</v>
      </c>
      <c r="Z144" t="str" cm="1">
        <f t="array" ref="Z144">_xlfn.IFS(Y144&lt;0, "Invalid Date", ISBLANK(G144), "Missing Region", TRUE, "Clean")</f>
        <v>Invalid Date</v>
      </c>
    </row>
    <row r="145" spans="1:26">
      <c r="A145" t="s">
        <v>399</v>
      </c>
      <c r="B145" s="4">
        <v>45375</v>
      </c>
      <c r="C145" s="6">
        <v>45377</v>
      </c>
      <c r="D145" t="s">
        <v>2094</v>
      </c>
      <c r="E145" t="s">
        <v>100</v>
      </c>
      <c r="F145" t="s">
        <v>23</v>
      </c>
      <c r="G145" t="s">
        <v>58</v>
      </c>
      <c r="H145" t="s">
        <v>151</v>
      </c>
      <c r="I145" t="s">
        <v>152</v>
      </c>
      <c r="J145" t="s">
        <v>27</v>
      </c>
      <c r="K145" t="s">
        <v>28</v>
      </c>
      <c r="L145" t="s">
        <v>400</v>
      </c>
      <c r="M145" t="s">
        <v>30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31</v>
      </c>
      <c r="U145" t="s">
        <v>92</v>
      </c>
      <c r="V145">
        <f t="shared" si="9"/>
        <v>3068.55</v>
      </c>
      <c r="W145">
        <f t="shared" si="10"/>
        <v>1152.3900000000001</v>
      </c>
      <c r="X145">
        <f t="shared" si="11"/>
        <v>37.55487119323459</v>
      </c>
      <c r="Y145">
        <f t="shared" si="12"/>
        <v>2</v>
      </c>
      <c r="Z145" t="str" cm="1">
        <f t="array" ref="Z145">_xlfn.IFS(Y145&lt;0, "Invalid Date", ISBLANK(G145), "Missing Region", TRUE, "Clean")</f>
        <v>Clean</v>
      </c>
    </row>
    <row r="146" spans="1:26">
      <c r="A146" t="s">
        <v>401</v>
      </c>
      <c r="B146" s="4">
        <v>45479</v>
      </c>
      <c r="C146" s="6">
        <v>45458</v>
      </c>
      <c r="D146" t="s">
        <v>2095</v>
      </c>
      <c r="E146" t="s">
        <v>212</v>
      </c>
      <c r="F146" t="s">
        <v>35</v>
      </c>
      <c r="G146" t="s">
        <v>50</v>
      </c>
      <c r="H146" t="s">
        <v>51</v>
      </c>
      <c r="I146" t="s">
        <v>52</v>
      </c>
      <c r="J146" t="s">
        <v>68</v>
      </c>
      <c r="K146" t="s">
        <v>69</v>
      </c>
      <c r="L146" t="s">
        <v>402</v>
      </c>
      <c r="M146" t="s">
        <v>47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91</v>
      </c>
      <c r="U146" t="s">
        <v>92</v>
      </c>
      <c r="V146">
        <f t="shared" si="9"/>
        <v>11276.947499999998</v>
      </c>
      <c r="W146">
        <f t="shared" si="10"/>
        <v>4368.1874999999982</v>
      </c>
      <c r="X146">
        <f t="shared" si="11"/>
        <v>38.735548782150481</v>
      </c>
      <c r="Y146">
        <f t="shared" si="12"/>
        <v>-21</v>
      </c>
      <c r="Z146" t="str" cm="1">
        <f t="array" ref="Z146">_xlfn.IFS(Y146&lt;0, "Invalid Date", ISBLANK(G146), "Missing Region", TRUE, "Clean")</f>
        <v>Invalid Date</v>
      </c>
    </row>
    <row r="147" spans="1:26">
      <c r="A147" t="s">
        <v>403</v>
      </c>
      <c r="B147" s="4">
        <v>45965</v>
      </c>
      <c r="C147" s="6">
        <v>45760</v>
      </c>
      <c r="D147" t="s">
        <v>2096</v>
      </c>
      <c r="E147" t="s">
        <v>34</v>
      </c>
      <c r="F147" t="s">
        <v>35</v>
      </c>
      <c r="G147" t="s">
        <v>58</v>
      </c>
      <c r="H147" t="s">
        <v>159</v>
      </c>
      <c r="I147" t="s">
        <v>160</v>
      </c>
      <c r="J147" t="s">
        <v>27</v>
      </c>
      <c r="K147" t="s">
        <v>28</v>
      </c>
      <c r="L147" t="s">
        <v>404</v>
      </c>
      <c r="M147" t="s">
        <v>55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31</v>
      </c>
      <c r="U147" t="s">
        <v>32</v>
      </c>
      <c r="V147">
        <f t="shared" si="9"/>
        <v>15055.74</v>
      </c>
      <c r="W147">
        <f t="shared" si="10"/>
        <v>5246.91</v>
      </c>
      <c r="X147">
        <f t="shared" si="11"/>
        <v>34.849897779850075</v>
      </c>
      <c r="Y147">
        <f t="shared" si="12"/>
        <v>-205</v>
      </c>
      <c r="Z147" t="str" cm="1">
        <f t="array" ref="Z147">_xlfn.IFS(Y147&lt;0, "Invalid Date", ISBLANK(G147), "Missing Region", TRUE, "Clean")</f>
        <v>Invalid Date</v>
      </c>
    </row>
    <row r="148" spans="1:26">
      <c r="A148" t="s">
        <v>405</v>
      </c>
      <c r="B148" s="4">
        <v>45868</v>
      </c>
      <c r="C148" s="6">
        <v>45870</v>
      </c>
      <c r="D148" t="s">
        <v>2097</v>
      </c>
      <c r="E148" t="s">
        <v>114</v>
      </c>
      <c r="F148" t="s">
        <v>35</v>
      </c>
      <c r="G148" t="s">
        <v>50</v>
      </c>
      <c r="H148" t="s">
        <v>200</v>
      </c>
      <c r="I148" t="s">
        <v>201</v>
      </c>
      <c r="J148" t="s">
        <v>27</v>
      </c>
      <c r="K148" t="s">
        <v>108</v>
      </c>
      <c r="L148" t="s">
        <v>406</v>
      </c>
      <c r="M148" t="s">
        <v>42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31</v>
      </c>
      <c r="U148" t="s">
        <v>32</v>
      </c>
      <c r="V148">
        <f t="shared" si="9"/>
        <v>25639.983</v>
      </c>
      <c r="W148">
        <f t="shared" si="10"/>
        <v>4004.9029999999984</v>
      </c>
      <c r="X148">
        <f t="shared" si="11"/>
        <v>15.619756846172631</v>
      </c>
      <c r="Y148">
        <f t="shared" si="12"/>
        <v>2</v>
      </c>
      <c r="Z148" t="str" cm="1">
        <f t="array" ref="Z148">_xlfn.IFS(Y148&lt;0, "Invalid Date", ISBLANK(G148), "Missing Region", TRUE, "Clean")</f>
        <v>Clean</v>
      </c>
    </row>
    <row r="149" spans="1:26">
      <c r="A149" t="s">
        <v>407</v>
      </c>
      <c r="B149" s="4">
        <v>45649</v>
      </c>
      <c r="C149" s="6">
        <v>45656</v>
      </c>
      <c r="D149" t="s">
        <v>2098</v>
      </c>
      <c r="E149" t="s">
        <v>100</v>
      </c>
      <c r="F149" t="s">
        <v>85</v>
      </c>
      <c r="G149" t="s">
        <v>58</v>
      </c>
      <c r="H149" t="s">
        <v>159</v>
      </c>
      <c r="I149" t="s">
        <v>160</v>
      </c>
      <c r="J149" t="s">
        <v>39</v>
      </c>
      <c r="K149" t="s">
        <v>53</v>
      </c>
      <c r="L149" t="s">
        <v>408</v>
      </c>
      <c r="M149" t="s">
        <v>47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31</v>
      </c>
      <c r="U149" t="s">
        <v>32</v>
      </c>
      <c r="V149">
        <f t="shared" si="9"/>
        <v>2779.92</v>
      </c>
      <c r="W149">
        <f t="shared" si="10"/>
        <v>1035.8700000000001</v>
      </c>
      <c r="X149">
        <f t="shared" si="11"/>
        <v>37.262583095916433</v>
      </c>
      <c r="Y149">
        <f t="shared" si="12"/>
        <v>7</v>
      </c>
      <c r="Z149" t="str" cm="1">
        <f t="array" ref="Z149">_xlfn.IFS(Y149&lt;0, "Invalid Date", ISBLANK(G149), "Missing Region", TRUE, "Clean")</f>
        <v>Clean</v>
      </c>
    </row>
    <row r="150" spans="1:26">
      <c r="A150" t="s">
        <v>409</v>
      </c>
      <c r="B150" s="4">
        <v>45902</v>
      </c>
      <c r="C150" s="6">
        <v>45701</v>
      </c>
      <c r="D150" t="s">
        <v>2099</v>
      </c>
      <c r="E150" t="s">
        <v>34</v>
      </c>
      <c r="F150" t="s">
        <v>85</v>
      </c>
      <c r="G150" t="s">
        <v>58</v>
      </c>
      <c r="H150" t="s">
        <v>66</v>
      </c>
      <c r="I150" t="s">
        <v>67</v>
      </c>
      <c r="J150" t="s">
        <v>68</v>
      </c>
      <c r="K150" t="s">
        <v>144</v>
      </c>
      <c r="L150" t="s">
        <v>410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31</v>
      </c>
      <c r="U150" t="s">
        <v>32</v>
      </c>
      <c r="V150">
        <f t="shared" si="9"/>
        <v>10176.42</v>
      </c>
      <c r="W150">
        <f t="shared" si="10"/>
        <v>2571.9499999999998</v>
      </c>
      <c r="X150">
        <f t="shared" si="11"/>
        <v>25.273622747488801</v>
      </c>
      <c r="Y150">
        <f t="shared" si="12"/>
        <v>-201</v>
      </c>
      <c r="Z150" t="str" cm="1">
        <f t="array" ref="Z150">_xlfn.IFS(Y150&lt;0, "Invalid Date", ISBLANK(G150), "Missing Region", TRUE, "Clean")</f>
        <v>Invalid Date</v>
      </c>
    </row>
    <row r="151" spans="1:26">
      <c r="A151" t="s">
        <v>411</v>
      </c>
      <c r="B151" s="4">
        <v>45321</v>
      </c>
      <c r="C151" s="6">
        <v>45321</v>
      </c>
      <c r="D151" t="s">
        <v>2100</v>
      </c>
      <c r="E151" t="s">
        <v>111</v>
      </c>
      <c r="F151" t="s">
        <v>35</v>
      </c>
      <c r="G151" t="s">
        <v>58</v>
      </c>
      <c r="H151" t="s">
        <v>25</v>
      </c>
      <c r="I151" t="s">
        <v>96</v>
      </c>
      <c r="J151" t="s">
        <v>68</v>
      </c>
      <c r="K151" t="s">
        <v>73</v>
      </c>
      <c r="L151" t="s">
        <v>412</v>
      </c>
      <c r="M151" t="s">
        <v>42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31</v>
      </c>
      <c r="U151" t="s">
        <v>32</v>
      </c>
      <c r="V151">
        <f t="shared" si="9"/>
        <v>13269.952499999999</v>
      </c>
      <c r="W151">
        <f t="shared" si="10"/>
        <v>4292.8524999999991</v>
      </c>
      <c r="X151">
        <f t="shared" si="11"/>
        <v>32.350172315989823</v>
      </c>
      <c r="Y151">
        <f t="shared" si="12"/>
        <v>0</v>
      </c>
      <c r="Z151" t="str" cm="1">
        <f t="array" ref="Z151">_xlfn.IFS(Y151&lt;0, "Invalid Date", ISBLANK(G151), "Missing Region", TRUE, "Clean")</f>
        <v>Clean</v>
      </c>
    </row>
    <row r="152" spans="1:26">
      <c r="A152" t="s">
        <v>413</v>
      </c>
      <c r="B152" s="4">
        <v>45385</v>
      </c>
      <c r="C152" s="6">
        <v>45629</v>
      </c>
      <c r="D152" t="s">
        <v>2101</v>
      </c>
      <c r="E152" t="s">
        <v>49</v>
      </c>
      <c r="F152" t="s">
        <v>23</v>
      </c>
      <c r="G152" t="s">
        <v>2806</v>
      </c>
      <c r="H152" t="s">
        <v>151</v>
      </c>
      <c r="I152" t="s">
        <v>152</v>
      </c>
      <c r="J152" t="s">
        <v>39</v>
      </c>
      <c r="K152" t="s">
        <v>134</v>
      </c>
      <c r="L152" t="s">
        <v>414</v>
      </c>
      <c r="M152" t="s">
        <v>47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31</v>
      </c>
      <c r="U152" t="s">
        <v>32</v>
      </c>
      <c r="V152">
        <f t="shared" si="9"/>
        <v>1398.7079999999999</v>
      </c>
      <c r="W152">
        <f t="shared" si="10"/>
        <v>341.78799999999978</v>
      </c>
      <c r="X152">
        <f t="shared" si="11"/>
        <v>24.435979489643287</v>
      </c>
      <c r="Y152">
        <f t="shared" si="12"/>
        <v>244</v>
      </c>
      <c r="Z152" t="str" cm="1">
        <f t="array" ref="Z152">_xlfn.IFS(Y152&lt;0, "Invalid Date", ISBLANK(G152), "Missing Region", TRUE, "Clean")</f>
        <v>Clean</v>
      </c>
    </row>
    <row r="153" spans="1:26">
      <c r="A153" t="s">
        <v>415</v>
      </c>
      <c r="B153" s="4">
        <v>45470</v>
      </c>
      <c r="C153" s="6">
        <v>45470</v>
      </c>
      <c r="D153" t="s">
        <v>2102</v>
      </c>
      <c r="E153" t="s">
        <v>72</v>
      </c>
      <c r="F153" t="s">
        <v>85</v>
      </c>
      <c r="G153" t="s">
        <v>2806</v>
      </c>
      <c r="H153" t="s">
        <v>66</v>
      </c>
      <c r="I153" t="s">
        <v>67</v>
      </c>
      <c r="J153" t="s">
        <v>68</v>
      </c>
      <c r="K153" t="s">
        <v>73</v>
      </c>
      <c r="L153" t="s">
        <v>416</v>
      </c>
      <c r="M153" t="s">
        <v>55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98</v>
      </c>
      <c r="U153" t="s">
        <v>92</v>
      </c>
      <c r="V153">
        <f t="shared" si="9"/>
        <v>7718.22</v>
      </c>
      <c r="W153">
        <f t="shared" si="10"/>
        <v>2362.29</v>
      </c>
      <c r="X153">
        <f t="shared" si="11"/>
        <v>30.606668376905553</v>
      </c>
      <c r="Y153">
        <f t="shared" si="12"/>
        <v>0</v>
      </c>
      <c r="Z153" t="str" cm="1">
        <f t="array" ref="Z153">_xlfn.IFS(Y153&lt;0, "Invalid Date", ISBLANK(G153), "Missing Region", TRUE, "Clean")</f>
        <v>Clean</v>
      </c>
    </row>
    <row r="154" spans="1:26">
      <c r="A154" t="s">
        <v>417</v>
      </c>
      <c r="B154" s="4">
        <v>45457</v>
      </c>
      <c r="C154" s="6">
        <v>45460</v>
      </c>
      <c r="D154" t="s">
        <v>2103</v>
      </c>
      <c r="E154" t="s">
        <v>212</v>
      </c>
      <c r="F154" t="s">
        <v>35</v>
      </c>
      <c r="G154" t="s">
        <v>50</v>
      </c>
      <c r="H154" t="s">
        <v>155</v>
      </c>
      <c r="I154" t="s">
        <v>156</v>
      </c>
      <c r="J154" t="s">
        <v>39</v>
      </c>
      <c r="K154" t="s">
        <v>40</v>
      </c>
      <c r="L154" t="s">
        <v>418</v>
      </c>
      <c r="M154" t="s">
        <v>30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98</v>
      </c>
      <c r="U154" t="s">
        <v>92</v>
      </c>
      <c r="V154">
        <f t="shared" si="9"/>
        <v>5875.4160000000002</v>
      </c>
      <c r="W154">
        <f t="shared" si="10"/>
        <v>1494.866</v>
      </c>
      <c r="X154">
        <f t="shared" si="11"/>
        <v>25.442726098032885</v>
      </c>
      <c r="Y154">
        <f t="shared" si="12"/>
        <v>3</v>
      </c>
      <c r="Z154" t="str" cm="1">
        <f t="array" ref="Z154">_xlfn.IFS(Y154&lt;0, "Invalid Date", ISBLANK(G154), "Missing Region", TRUE, "Clean")</f>
        <v>Clean</v>
      </c>
    </row>
    <row r="155" spans="1:26">
      <c r="A155" t="s">
        <v>419</v>
      </c>
      <c r="B155" s="4">
        <v>45923</v>
      </c>
      <c r="C155" s="6">
        <v>45925</v>
      </c>
      <c r="D155" t="s">
        <v>2065</v>
      </c>
      <c r="E155" t="s">
        <v>80</v>
      </c>
      <c r="F155" t="s">
        <v>23</v>
      </c>
      <c r="G155" t="s">
        <v>36</v>
      </c>
      <c r="H155" t="s">
        <v>37</v>
      </c>
      <c r="I155" t="s">
        <v>38</v>
      </c>
      <c r="J155" t="s">
        <v>27</v>
      </c>
      <c r="K155" t="s">
        <v>82</v>
      </c>
      <c r="L155" t="s">
        <v>420</v>
      </c>
      <c r="M155" t="s">
        <v>55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91</v>
      </c>
      <c r="U155" t="s">
        <v>92</v>
      </c>
      <c r="V155">
        <f t="shared" si="9"/>
        <v>22962.17</v>
      </c>
      <c r="W155">
        <f t="shared" si="10"/>
        <v>7245.6699999999983</v>
      </c>
      <c r="X155">
        <f t="shared" si="11"/>
        <v>31.554813852523516</v>
      </c>
      <c r="Y155">
        <f t="shared" si="12"/>
        <v>2</v>
      </c>
      <c r="Z155" t="str" cm="1">
        <f t="array" ref="Z155">_xlfn.IFS(Y155&lt;0, "Invalid Date", ISBLANK(G155), "Missing Region", TRUE, "Clean")</f>
        <v>Clean</v>
      </c>
    </row>
    <row r="156" spans="1:26">
      <c r="A156" t="s">
        <v>421</v>
      </c>
      <c r="B156" s="4">
        <v>45628</v>
      </c>
      <c r="C156" s="6">
        <v>45333</v>
      </c>
      <c r="D156" t="s">
        <v>2104</v>
      </c>
      <c r="E156" t="s">
        <v>100</v>
      </c>
      <c r="F156" t="s">
        <v>23</v>
      </c>
      <c r="G156" t="s">
        <v>50</v>
      </c>
      <c r="H156" t="s">
        <v>200</v>
      </c>
      <c r="I156" t="s">
        <v>201</v>
      </c>
      <c r="J156" t="s">
        <v>39</v>
      </c>
      <c r="K156" t="s">
        <v>134</v>
      </c>
      <c r="L156" t="s">
        <v>422</v>
      </c>
      <c r="M156" t="s">
        <v>42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31</v>
      </c>
      <c r="U156" t="s">
        <v>32</v>
      </c>
      <c r="V156">
        <f t="shared" si="9"/>
        <v>2209.252</v>
      </c>
      <c r="W156">
        <f t="shared" si="10"/>
        <v>685.47199999999998</v>
      </c>
      <c r="X156">
        <f t="shared" si="11"/>
        <v>31.027334138432373</v>
      </c>
      <c r="Y156">
        <f t="shared" si="12"/>
        <v>-295</v>
      </c>
      <c r="Z156" t="str" cm="1">
        <f t="array" ref="Z156">_xlfn.IFS(Y156&lt;0, "Invalid Date", ISBLANK(G156), "Missing Region", TRUE, "Clean")</f>
        <v>Invalid Date</v>
      </c>
    </row>
    <row r="157" spans="1:26">
      <c r="A157" t="s">
        <v>423</v>
      </c>
      <c r="B157" s="4">
        <v>45683</v>
      </c>
      <c r="C157" s="6">
        <v>45718</v>
      </c>
      <c r="D157" t="s">
        <v>2105</v>
      </c>
      <c r="E157" t="s">
        <v>22</v>
      </c>
      <c r="F157" t="s">
        <v>81</v>
      </c>
      <c r="G157" t="s">
        <v>58</v>
      </c>
      <c r="H157" t="s">
        <v>25</v>
      </c>
      <c r="I157" t="s">
        <v>96</v>
      </c>
      <c r="J157" t="s">
        <v>39</v>
      </c>
      <c r="K157" t="s">
        <v>53</v>
      </c>
      <c r="L157" t="s">
        <v>424</v>
      </c>
      <c r="M157" t="s">
        <v>42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91</v>
      </c>
      <c r="U157" t="s">
        <v>92</v>
      </c>
      <c r="V157">
        <f t="shared" si="9"/>
        <v>7720.1640000000007</v>
      </c>
      <c r="W157">
        <f t="shared" si="10"/>
        <v>1839.1640000000007</v>
      </c>
      <c r="X157">
        <f t="shared" si="11"/>
        <v>23.822861794127697</v>
      </c>
      <c r="Y157">
        <f t="shared" si="12"/>
        <v>35</v>
      </c>
      <c r="Z157" t="str" cm="1">
        <f t="array" ref="Z157">_xlfn.IFS(Y157&lt;0, "Invalid Date", ISBLANK(G157), "Missing Region", TRUE, "Clean")</f>
        <v>Clean</v>
      </c>
    </row>
    <row r="158" spans="1:26">
      <c r="A158" t="s">
        <v>425</v>
      </c>
      <c r="B158" s="4">
        <v>45743</v>
      </c>
      <c r="C158" s="6">
        <v>45743</v>
      </c>
      <c r="D158" t="s">
        <v>2106</v>
      </c>
      <c r="E158" t="s">
        <v>65</v>
      </c>
      <c r="F158" t="s">
        <v>35</v>
      </c>
      <c r="G158" t="s">
        <v>36</v>
      </c>
      <c r="H158" t="s">
        <v>124</v>
      </c>
      <c r="I158" t="s">
        <v>125</v>
      </c>
      <c r="J158" t="s">
        <v>68</v>
      </c>
      <c r="K158" t="s">
        <v>219</v>
      </c>
      <c r="L158" t="s">
        <v>426</v>
      </c>
      <c r="M158" t="s">
        <v>30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31</v>
      </c>
      <c r="U158" t="s">
        <v>32</v>
      </c>
      <c r="V158">
        <f t="shared" si="9"/>
        <v>12103.192500000001</v>
      </c>
      <c r="W158">
        <f t="shared" si="10"/>
        <v>5385.3225000000011</v>
      </c>
      <c r="X158">
        <f t="shared" si="11"/>
        <v>44.495057812225994</v>
      </c>
      <c r="Y158">
        <f t="shared" si="12"/>
        <v>0</v>
      </c>
      <c r="Z158" t="str" cm="1">
        <f t="array" ref="Z158">_xlfn.IFS(Y158&lt;0, "Invalid Date", ISBLANK(G158), "Missing Region", TRUE, "Clean")</f>
        <v>Clean</v>
      </c>
    </row>
    <row r="159" spans="1:26">
      <c r="A159" t="s">
        <v>427</v>
      </c>
      <c r="B159" s="4">
        <v>45587</v>
      </c>
      <c r="C159" s="6">
        <v>45589</v>
      </c>
      <c r="D159" t="s">
        <v>2107</v>
      </c>
      <c r="E159" t="s">
        <v>121</v>
      </c>
      <c r="F159" t="s">
        <v>35</v>
      </c>
      <c r="G159" t="s">
        <v>50</v>
      </c>
      <c r="H159" t="s">
        <v>76</v>
      </c>
      <c r="I159" t="s">
        <v>77</v>
      </c>
      <c r="J159" t="s">
        <v>39</v>
      </c>
      <c r="K159" t="s">
        <v>134</v>
      </c>
      <c r="L159" t="s">
        <v>428</v>
      </c>
      <c r="M159" t="s">
        <v>55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31</v>
      </c>
      <c r="U159" t="s">
        <v>32</v>
      </c>
      <c r="V159">
        <f t="shared" si="9"/>
        <v>2335.3919999999998</v>
      </c>
      <c r="W159">
        <f t="shared" si="10"/>
        <v>869.24199999999973</v>
      </c>
      <c r="X159">
        <f t="shared" si="11"/>
        <v>37.220389553445408</v>
      </c>
      <c r="Y159">
        <f t="shared" si="12"/>
        <v>2</v>
      </c>
      <c r="Z159" t="str" cm="1">
        <f t="array" ref="Z159">_xlfn.IFS(Y159&lt;0, "Invalid Date", ISBLANK(G159), "Missing Region", TRUE, "Clean")</f>
        <v>Clean</v>
      </c>
    </row>
    <row r="160" spans="1:26">
      <c r="A160" t="s">
        <v>429</v>
      </c>
      <c r="B160" s="4">
        <v>45544</v>
      </c>
      <c r="C160" s="6">
        <v>45546</v>
      </c>
      <c r="D160" t="s">
        <v>2108</v>
      </c>
      <c r="E160" t="s">
        <v>72</v>
      </c>
      <c r="F160" t="s">
        <v>85</v>
      </c>
      <c r="G160" t="s">
        <v>50</v>
      </c>
      <c r="H160" t="s">
        <v>51</v>
      </c>
      <c r="I160" t="s">
        <v>52</v>
      </c>
      <c r="J160" t="s">
        <v>39</v>
      </c>
      <c r="K160" t="s">
        <v>134</v>
      </c>
      <c r="L160" t="s">
        <v>430</v>
      </c>
      <c r="M160" t="s">
        <v>47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31</v>
      </c>
      <c r="U160" t="s">
        <v>32</v>
      </c>
      <c r="V160">
        <f t="shared" si="9"/>
        <v>3989.5629999999996</v>
      </c>
      <c r="W160">
        <f t="shared" si="10"/>
        <v>1608.1829999999995</v>
      </c>
      <c r="X160">
        <f t="shared" si="11"/>
        <v>40.309753223598662</v>
      </c>
      <c r="Y160">
        <f t="shared" si="12"/>
        <v>2</v>
      </c>
      <c r="Z160" t="str" cm="1">
        <f t="array" ref="Z160">_xlfn.IFS(Y160&lt;0, "Invalid Date", ISBLANK(G160), "Missing Region", TRUE, "Clean")</f>
        <v>Clean</v>
      </c>
    </row>
    <row r="161" spans="1:26">
      <c r="A161" t="s">
        <v>431</v>
      </c>
      <c r="B161" s="4">
        <v>45687</v>
      </c>
      <c r="C161" s="6">
        <v>45749</v>
      </c>
      <c r="D161" t="s">
        <v>2109</v>
      </c>
      <c r="E161" t="s">
        <v>100</v>
      </c>
      <c r="F161" t="s">
        <v>81</v>
      </c>
      <c r="G161" t="s">
        <v>24</v>
      </c>
      <c r="H161" t="s">
        <v>192</v>
      </c>
      <c r="I161" t="s">
        <v>193</v>
      </c>
      <c r="J161" t="s">
        <v>39</v>
      </c>
      <c r="K161" t="s">
        <v>61</v>
      </c>
      <c r="L161" t="s">
        <v>432</v>
      </c>
      <c r="M161" t="s">
        <v>42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98</v>
      </c>
      <c r="U161" t="s">
        <v>63</v>
      </c>
      <c r="V161">
        <f t="shared" si="9"/>
        <v>33893.324999999997</v>
      </c>
      <c r="W161">
        <f t="shared" si="10"/>
        <v>8142.9749999999985</v>
      </c>
      <c r="X161">
        <f t="shared" si="11"/>
        <v>24.025305867748294</v>
      </c>
      <c r="Y161">
        <f t="shared" si="12"/>
        <v>62</v>
      </c>
      <c r="Z161" t="str" cm="1">
        <f t="array" ref="Z161">_xlfn.IFS(Y161&lt;0, "Invalid Date", ISBLANK(G161), "Missing Region", TRUE, "Clean")</f>
        <v>Clean</v>
      </c>
    </row>
    <row r="162" spans="1:26">
      <c r="A162" t="s">
        <v>433</v>
      </c>
      <c r="B162" s="4">
        <v>45879</v>
      </c>
      <c r="C162" s="6">
        <v>45936</v>
      </c>
      <c r="D162" t="s">
        <v>2110</v>
      </c>
      <c r="E162" t="s">
        <v>65</v>
      </c>
      <c r="F162" t="s">
        <v>35</v>
      </c>
      <c r="G162" t="s">
        <v>58</v>
      </c>
      <c r="H162" t="s">
        <v>59</v>
      </c>
      <c r="I162" t="s">
        <v>60</v>
      </c>
      <c r="J162" t="s">
        <v>27</v>
      </c>
      <c r="K162" t="s">
        <v>28</v>
      </c>
      <c r="L162" t="s">
        <v>434</v>
      </c>
      <c r="M162" t="s">
        <v>30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98</v>
      </c>
      <c r="U162" t="s">
        <v>63</v>
      </c>
      <c r="V162">
        <f t="shared" si="9"/>
        <v>4789.5960000000005</v>
      </c>
      <c r="W162">
        <f t="shared" si="10"/>
        <v>751.95600000000059</v>
      </c>
      <c r="X162">
        <f t="shared" si="11"/>
        <v>15.69977927157114</v>
      </c>
      <c r="Y162">
        <f t="shared" si="12"/>
        <v>57</v>
      </c>
      <c r="Z162" t="str" cm="1">
        <f t="array" ref="Z162">_xlfn.IFS(Y162&lt;0, "Invalid Date", ISBLANK(G162), "Missing Region", TRUE, "Clean")</f>
        <v>Clean</v>
      </c>
    </row>
    <row r="163" spans="1:26">
      <c r="A163" t="s">
        <v>435</v>
      </c>
      <c r="B163" s="4">
        <v>45862</v>
      </c>
      <c r="C163" s="6">
        <v>45868</v>
      </c>
      <c r="D163" t="s">
        <v>2111</v>
      </c>
      <c r="E163" t="s">
        <v>49</v>
      </c>
      <c r="F163" t="s">
        <v>23</v>
      </c>
      <c r="G163" t="s">
        <v>58</v>
      </c>
      <c r="H163" t="s">
        <v>25</v>
      </c>
      <c r="I163" t="s">
        <v>96</v>
      </c>
      <c r="J163" t="s">
        <v>27</v>
      </c>
      <c r="K163" t="s">
        <v>130</v>
      </c>
      <c r="L163" t="s">
        <v>436</v>
      </c>
      <c r="M163" t="s">
        <v>55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98</v>
      </c>
      <c r="U163" t="s">
        <v>63</v>
      </c>
      <c r="V163">
        <f t="shared" si="9"/>
        <v>1643.41</v>
      </c>
      <c r="W163">
        <f t="shared" si="10"/>
        <v>736.0100000000001</v>
      </c>
      <c r="X163">
        <f t="shared" si="11"/>
        <v>44.785537388722233</v>
      </c>
      <c r="Y163">
        <f t="shared" si="12"/>
        <v>6</v>
      </c>
      <c r="Z163" t="str" cm="1">
        <f t="array" ref="Z163">_xlfn.IFS(Y163&lt;0, "Invalid Date", ISBLANK(G163), "Missing Region", TRUE, "Clean")</f>
        <v>Clean</v>
      </c>
    </row>
    <row r="164" spans="1:26">
      <c r="A164" t="s">
        <v>437</v>
      </c>
      <c r="B164" s="4">
        <v>45538</v>
      </c>
      <c r="C164" s="6">
        <v>45365</v>
      </c>
      <c r="D164" t="s">
        <v>2112</v>
      </c>
      <c r="E164" t="s">
        <v>72</v>
      </c>
      <c r="F164" t="s">
        <v>35</v>
      </c>
      <c r="G164" t="s">
        <v>58</v>
      </c>
      <c r="H164" t="s">
        <v>159</v>
      </c>
      <c r="I164" t="s">
        <v>160</v>
      </c>
      <c r="J164" t="s">
        <v>39</v>
      </c>
      <c r="K164" t="s">
        <v>53</v>
      </c>
      <c r="L164" t="s">
        <v>438</v>
      </c>
      <c r="M164" t="s">
        <v>30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98</v>
      </c>
      <c r="U164" t="s">
        <v>92</v>
      </c>
      <c r="V164">
        <f t="shared" si="9"/>
        <v>35782.720000000001</v>
      </c>
      <c r="W164">
        <f t="shared" si="10"/>
        <v>9358.3100000000013</v>
      </c>
      <c r="X164">
        <f t="shared" si="11"/>
        <v>26.15315437171909</v>
      </c>
      <c r="Y164">
        <f t="shared" si="12"/>
        <v>-173</v>
      </c>
      <c r="Z164" t="str" cm="1">
        <f t="array" ref="Z164">_xlfn.IFS(Y164&lt;0, "Invalid Date", ISBLANK(G164), "Missing Region", TRUE, "Clean")</f>
        <v>Invalid Date</v>
      </c>
    </row>
    <row r="165" spans="1:26">
      <c r="A165" t="s">
        <v>439</v>
      </c>
      <c r="B165" s="4">
        <v>45921</v>
      </c>
      <c r="C165" s="6">
        <v>45926</v>
      </c>
      <c r="D165" t="s">
        <v>2113</v>
      </c>
      <c r="E165" t="s">
        <v>121</v>
      </c>
      <c r="F165" t="s">
        <v>85</v>
      </c>
      <c r="G165" t="s">
        <v>58</v>
      </c>
      <c r="H165" t="s">
        <v>151</v>
      </c>
      <c r="I165" t="s">
        <v>152</v>
      </c>
      <c r="J165" t="s">
        <v>39</v>
      </c>
      <c r="K165" t="s">
        <v>40</v>
      </c>
      <c r="L165" t="s">
        <v>440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98</v>
      </c>
      <c r="U165" t="s">
        <v>92</v>
      </c>
      <c r="V165">
        <f t="shared" si="9"/>
        <v>15679.332</v>
      </c>
      <c r="W165">
        <f t="shared" si="10"/>
        <v>3201.5120000000006</v>
      </c>
      <c r="X165">
        <f t="shared" si="11"/>
        <v>20.41867599971734</v>
      </c>
      <c r="Y165">
        <f t="shared" si="12"/>
        <v>5</v>
      </c>
      <c r="Z165" t="str" cm="1">
        <f t="array" ref="Z165">_xlfn.IFS(Y165&lt;0, "Invalid Date", ISBLANK(G165), "Missing Region", TRUE, "Clean")</f>
        <v>Clean</v>
      </c>
    </row>
    <row r="166" spans="1:26">
      <c r="A166" t="s">
        <v>441</v>
      </c>
      <c r="B166" s="4">
        <v>45909</v>
      </c>
      <c r="C166" s="6">
        <v>45914</v>
      </c>
      <c r="D166" t="s">
        <v>2114</v>
      </c>
      <c r="E166" t="s">
        <v>103</v>
      </c>
      <c r="F166" t="s">
        <v>35</v>
      </c>
      <c r="G166" t="s">
        <v>36</v>
      </c>
      <c r="H166" t="s">
        <v>88</v>
      </c>
      <c r="I166" t="s">
        <v>89</v>
      </c>
      <c r="J166" t="s">
        <v>39</v>
      </c>
      <c r="K166" t="s">
        <v>134</v>
      </c>
      <c r="L166" t="s">
        <v>442</v>
      </c>
      <c r="M166" t="s">
        <v>30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31</v>
      </c>
      <c r="U166" t="s">
        <v>32</v>
      </c>
      <c r="V166">
        <f t="shared" si="9"/>
        <v>2365.8150000000001</v>
      </c>
      <c r="W166">
        <f t="shared" si="10"/>
        <v>817.82500000000005</v>
      </c>
      <c r="X166">
        <f t="shared" si="11"/>
        <v>34.568425679945392</v>
      </c>
      <c r="Y166">
        <f t="shared" si="12"/>
        <v>5</v>
      </c>
      <c r="Z166" t="str" cm="1">
        <f t="array" ref="Z166">_xlfn.IFS(Y166&lt;0, "Invalid Date", ISBLANK(G166), "Missing Region", TRUE, "Clean")</f>
        <v>Clean</v>
      </c>
    </row>
    <row r="167" spans="1:26">
      <c r="A167" t="s">
        <v>443</v>
      </c>
      <c r="B167" s="4">
        <v>45618</v>
      </c>
      <c r="C167" s="6">
        <v>45625</v>
      </c>
      <c r="D167" t="s">
        <v>2115</v>
      </c>
      <c r="E167" t="s">
        <v>34</v>
      </c>
      <c r="F167" t="s">
        <v>85</v>
      </c>
      <c r="G167" t="s">
        <v>36</v>
      </c>
      <c r="H167" t="s">
        <v>124</v>
      </c>
      <c r="I167" t="s">
        <v>125</v>
      </c>
      <c r="J167" t="s">
        <v>39</v>
      </c>
      <c r="K167" t="s">
        <v>61</v>
      </c>
      <c r="L167" t="s">
        <v>444</v>
      </c>
      <c r="M167" t="s">
        <v>55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31</v>
      </c>
      <c r="U167" t="s">
        <v>32</v>
      </c>
      <c r="V167">
        <f t="shared" si="9"/>
        <v>10268.969999999999</v>
      </c>
      <c r="W167">
        <f t="shared" si="10"/>
        <v>3798.0499999999993</v>
      </c>
      <c r="X167">
        <f t="shared" si="11"/>
        <v>36.98569574163718</v>
      </c>
      <c r="Y167">
        <f t="shared" si="12"/>
        <v>7</v>
      </c>
      <c r="Z167" t="str" cm="1">
        <f t="array" ref="Z167">_xlfn.IFS(Y167&lt;0, "Invalid Date", ISBLANK(G167), "Missing Region", TRUE, "Clean")</f>
        <v>Clean</v>
      </c>
    </row>
    <row r="168" spans="1:26">
      <c r="A168" t="s">
        <v>445</v>
      </c>
      <c r="B168" s="4">
        <v>45708</v>
      </c>
      <c r="C168" s="6">
        <v>45714</v>
      </c>
      <c r="D168" t="s">
        <v>2116</v>
      </c>
      <c r="E168" t="s">
        <v>22</v>
      </c>
      <c r="F168" t="s">
        <v>35</v>
      </c>
      <c r="G168" t="s">
        <v>58</v>
      </c>
      <c r="H168" t="s">
        <v>151</v>
      </c>
      <c r="I168" t="s">
        <v>152</v>
      </c>
      <c r="J168" t="s">
        <v>446</v>
      </c>
      <c r="K168" t="s">
        <v>82</v>
      </c>
      <c r="L168" t="s">
        <v>447</v>
      </c>
      <c r="M168" t="s">
        <v>47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31</v>
      </c>
      <c r="U168" t="s">
        <v>32</v>
      </c>
      <c r="V168">
        <f t="shared" si="9"/>
        <v>2046.28</v>
      </c>
      <c r="W168">
        <f t="shared" si="10"/>
        <v>596.74</v>
      </c>
      <c r="X168">
        <f t="shared" si="11"/>
        <v>29.162186992982384</v>
      </c>
      <c r="Y168">
        <f t="shared" si="12"/>
        <v>6</v>
      </c>
      <c r="Z168" t="str" cm="1">
        <f t="array" ref="Z168">_xlfn.IFS(Y168&lt;0, "Invalid Date", ISBLANK(G168), "Missing Region", TRUE, "Clean")</f>
        <v>Clean</v>
      </c>
    </row>
    <row r="169" spans="1:26">
      <c r="A169" t="s">
        <v>448</v>
      </c>
      <c r="B169" s="4">
        <v>45887</v>
      </c>
      <c r="C169" s="6">
        <v>45887</v>
      </c>
      <c r="D169" t="s">
        <v>2117</v>
      </c>
      <c r="E169" t="s">
        <v>49</v>
      </c>
      <c r="F169" t="s">
        <v>85</v>
      </c>
      <c r="G169" t="s">
        <v>50</v>
      </c>
      <c r="H169" t="s">
        <v>147</v>
      </c>
      <c r="I169" t="s">
        <v>148</v>
      </c>
      <c r="J169" t="s">
        <v>27</v>
      </c>
      <c r="K169" t="s">
        <v>108</v>
      </c>
      <c r="L169" t="s">
        <v>449</v>
      </c>
      <c r="M169" t="s">
        <v>47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31</v>
      </c>
      <c r="U169" t="s">
        <v>92</v>
      </c>
      <c r="V169">
        <f t="shared" si="9"/>
        <v>23186.6145</v>
      </c>
      <c r="W169">
        <f t="shared" si="10"/>
        <v>5280.0744999999988</v>
      </c>
      <c r="X169">
        <f t="shared" si="11"/>
        <v>22.772080417345961</v>
      </c>
      <c r="Y169">
        <f t="shared" si="12"/>
        <v>0</v>
      </c>
      <c r="Z169" t="str" cm="1">
        <f t="array" ref="Z169">_xlfn.IFS(Y169&lt;0, "Invalid Date", ISBLANK(G169), "Missing Region", TRUE, "Clean")</f>
        <v>Clean</v>
      </c>
    </row>
    <row r="170" spans="1:26">
      <c r="A170" t="s">
        <v>450</v>
      </c>
      <c r="B170" s="4">
        <v>45677</v>
      </c>
      <c r="C170" s="6">
        <v>45680</v>
      </c>
      <c r="D170" t="s">
        <v>2118</v>
      </c>
      <c r="E170" t="s">
        <v>212</v>
      </c>
      <c r="F170" t="s">
        <v>23</v>
      </c>
      <c r="G170" t="s">
        <v>58</v>
      </c>
      <c r="H170" t="s">
        <v>59</v>
      </c>
      <c r="I170" t="s">
        <v>60</v>
      </c>
      <c r="J170" t="s">
        <v>68</v>
      </c>
      <c r="K170" t="s">
        <v>69</v>
      </c>
      <c r="L170" t="s">
        <v>451</v>
      </c>
      <c r="M170" t="s">
        <v>42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31</v>
      </c>
      <c r="U170" t="s">
        <v>63</v>
      </c>
      <c r="V170">
        <f t="shared" si="9"/>
        <v>2557.08</v>
      </c>
      <c r="W170">
        <f t="shared" si="10"/>
        <v>531.38999999999987</v>
      </c>
      <c r="X170">
        <f t="shared" si="11"/>
        <v>20.781125346097891</v>
      </c>
      <c r="Y170">
        <f t="shared" si="12"/>
        <v>3</v>
      </c>
      <c r="Z170" t="str" cm="1">
        <f t="array" ref="Z170">_xlfn.IFS(Y170&lt;0, "Invalid Date", ISBLANK(G170), "Missing Region", TRUE, "Clean")</f>
        <v>Clean</v>
      </c>
    </row>
    <row r="171" spans="1:26">
      <c r="A171" t="s">
        <v>452</v>
      </c>
      <c r="B171" s="4">
        <v>45913</v>
      </c>
      <c r="C171" s="6">
        <v>45913</v>
      </c>
      <c r="D171" t="s">
        <v>2119</v>
      </c>
      <c r="E171" t="s">
        <v>137</v>
      </c>
      <c r="F171" t="s">
        <v>23</v>
      </c>
      <c r="G171" t="s">
        <v>36</v>
      </c>
      <c r="H171" t="s">
        <v>140</v>
      </c>
      <c r="I171" t="s">
        <v>141</v>
      </c>
      <c r="J171" t="s">
        <v>27</v>
      </c>
      <c r="K171" t="s">
        <v>45</v>
      </c>
      <c r="L171" t="s">
        <v>453</v>
      </c>
      <c r="M171" t="s">
        <v>55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98</v>
      </c>
      <c r="U171" t="s">
        <v>92</v>
      </c>
      <c r="V171">
        <f t="shared" si="9"/>
        <v>5577.6399999999994</v>
      </c>
      <c r="W171">
        <f t="shared" si="10"/>
        <v>2036.3499999999995</v>
      </c>
      <c r="X171">
        <f t="shared" si="11"/>
        <v>36.509168752375551</v>
      </c>
      <c r="Y171">
        <f t="shared" si="12"/>
        <v>0</v>
      </c>
      <c r="Z171" t="str" cm="1">
        <f t="array" ref="Z171">_xlfn.IFS(Y171&lt;0, "Invalid Date", ISBLANK(G171), "Missing Region", TRUE, "Clean")</f>
        <v>Clean</v>
      </c>
    </row>
    <row r="172" spans="1:26">
      <c r="A172" t="s">
        <v>454</v>
      </c>
      <c r="B172" s="4">
        <v>45847</v>
      </c>
      <c r="C172" s="6">
        <v>45915</v>
      </c>
      <c r="D172" t="s">
        <v>2120</v>
      </c>
      <c r="E172" t="s">
        <v>121</v>
      </c>
      <c r="F172" t="s">
        <v>81</v>
      </c>
      <c r="G172" t="s">
        <v>36</v>
      </c>
      <c r="H172" t="s">
        <v>124</v>
      </c>
      <c r="I172" t="s">
        <v>125</v>
      </c>
      <c r="J172" t="s">
        <v>68</v>
      </c>
      <c r="K172" t="s">
        <v>73</v>
      </c>
      <c r="L172" t="s">
        <v>455</v>
      </c>
      <c r="M172" t="s">
        <v>55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31</v>
      </c>
      <c r="U172" t="s">
        <v>32</v>
      </c>
      <c r="V172">
        <f t="shared" si="9"/>
        <v>5133.96</v>
      </c>
      <c r="W172">
        <f t="shared" si="10"/>
        <v>1203.96</v>
      </c>
      <c r="X172">
        <f t="shared" si="11"/>
        <v>23.450903396208776</v>
      </c>
      <c r="Y172">
        <f t="shared" si="12"/>
        <v>68</v>
      </c>
      <c r="Z172" t="str" cm="1">
        <f t="array" ref="Z172">_xlfn.IFS(Y172&lt;0, "Invalid Date", ISBLANK(G172), "Missing Region", TRUE, "Clean")</f>
        <v>Clean</v>
      </c>
    </row>
    <row r="173" spans="1:26">
      <c r="A173" t="s">
        <v>456</v>
      </c>
      <c r="B173" s="4">
        <v>45711</v>
      </c>
      <c r="C173" s="6">
        <v>45713</v>
      </c>
      <c r="D173" t="s">
        <v>2121</v>
      </c>
      <c r="E173" t="s">
        <v>22</v>
      </c>
      <c r="F173" t="s">
        <v>81</v>
      </c>
      <c r="G173" t="s">
        <v>36</v>
      </c>
      <c r="H173" t="s">
        <v>124</v>
      </c>
      <c r="I173" t="s">
        <v>125</v>
      </c>
      <c r="J173" t="s">
        <v>27</v>
      </c>
      <c r="K173" t="s">
        <v>82</v>
      </c>
      <c r="L173" t="s">
        <v>457</v>
      </c>
      <c r="M173" t="s">
        <v>42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31</v>
      </c>
      <c r="U173" t="s">
        <v>32</v>
      </c>
      <c r="V173">
        <f t="shared" si="9"/>
        <v>15923.512500000001</v>
      </c>
      <c r="W173">
        <f t="shared" si="10"/>
        <v>4631.7125000000015</v>
      </c>
      <c r="X173">
        <f t="shared" si="11"/>
        <v>29.08725383297185</v>
      </c>
      <c r="Y173">
        <f t="shared" si="12"/>
        <v>2</v>
      </c>
      <c r="Z173" t="str" cm="1">
        <f t="array" ref="Z173">_xlfn.IFS(Y173&lt;0, "Invalid Date", ISBLANK(G173), "Missing Region", TRUE, "Clean")</f>
        <v>Clean</v>
      </c>
    </row>
    <row r="174" spans="1:26">
      <c r="A174" t="s">
        <v>458</v>
      </c>
      <c r="B174" s="4">
        <v>45696</v>
      </c>
      <c r="C174" s="6">
        <v>45938</v>
      </c>
      <c r="D174" t="s">
        <v>2122</v>
      </c>
      <c r="E174" t="s">
        <v>22</v>
      </c>
      <c r="F174" t="s">
        <v>81</v>
      </c>
      <c r="G174" t="s">
        <v>24</v>
      </c>
      <c r="H174" t="s">
        <v>270</v>
      </c>
      <c r="I174" t="s">
        <v>271</v>
      </c>
      <c r="J174" t="s">
        <v>39</v>
      </c>
      <c r="K174" t="s">
        <v>53</v>
      </c>
      <c r="L174" t="s">
        <v>459</v>
      </c>
      <c r="M174" t="s">
        <v>42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91</v>
      </c>
      <c r="U174" t="s">
        <v>92</v>
      </c>
      <c r="V174">
        <f t="shared" si="9"/>
        <v>23997.221999999998</v>
      </c>
      <c r="W174">
        <f t="shared" si="10"/>
        <v>7862.5919999999987</v>
      </c>
      <c r="X174">
        <f t="shared" si="11"/>
        <v>32.764592501582058</v>
      </c>
      <c r="Y174">
        <f t="shared" si="12"/>
        <v>242</v>
      </c>
      <c r="Z174" t="str" cm="1">
        <f t="array" ref="Z174">_xlfn.IFS(Y174&lt;0, "Invalid Date", ISBLANK(G174), "Missing Region", TRUE, "Clean")</f>
        <v>Clean</v>
      </c>
    </row>
    <row r="175" spans="1:26">
      <c r="A175" t="s">
        <v>460</v>
      </c>
      <c r="B175" s="4">
        <v>45327</v>
      </c>
      <c r="C175" s="6">
        <v>45509</v>
      </c>
      <c r="D175" t="s">
        <v>2123</v>
      </c>
      <c r="E175" t="s">
        <v>100</v>
      </c>
      <c r="F175" t="s">
        <v>85</v>
      </c>
      <c r="G175" t="s">
        <v>24</v>
      </c>
      <c r="H175" t="s">
        <v>106</v>
      </c>
      <c r="I175" t="s">
        <v>107</v>
      </c>
      <c r="J175" t="s">
        <v>68</v>
      </c>
      <c r="K175" t="s">
        <v>73</v>
      </c>
      <c r="L175" t="s">
        <v>461</v>
      </c>
      <c r="M175" t="s">
        <v>30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31</v>
      </c>
      <c r="U175" t="s">
        <v>32</v>
      </c>
      <c r="V175">
        <f t="shared" si="9"/>
        <v>1734.1875</v>
      </c>
      <c r="W175">
        <f t="shared" si="10"/>
        <v>348.11750000000006</v>
      </c>
      <c r="X175">
        <f t="shared" si="11"/>
        <v>20.073809781237614</v>
      </c>
      <c r="Y175">
        <f t="shared" si="12"/>
        <v>182</v>
      </c>
      <c r="Z175" t="str" cm="1">
        <f t="array" ref="Z175">_xlfn.IFS(Y175&lt;0, "Invalid Date", ISBLANK(G175), "Missing Region", TRUE, "Clean")</f>
        <v>Clean</v>
      </c>
    </row>
    <row r="176" spans="1:26">
      <c r="A176" t="s">
        <v>462</v>
      </c>
      <c r="B176" s="4">
        <v>45928</v>
      </c>
      <c r="C176" s="6">
        <v>45757</v>
      </c>
      <c r="D176" t="s">
        <v>2124</v>
      </c>
      <c r="E176" t="s">
        <v>22</v>
      </c>
      <c r="F176" t="s">
        <v>35</v>
      </c>
      <c r="G176" t="s">
        <v>50</v>
      </c>
      <c r="H176" t="s">
        <v>147</v>
      </c>
      <c r="I176" t="s">
        <v>148</v>
      </c>
      <c r="J176" t="s">
        <v>39</v>
      </c>
      <c r="K176" t="s">
        <v>134</v>
      </c>
      <c r="L176" t="s">
        <v>463</v>
      </c>
      <c r="M176" t="s">
        <v>47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98</v>
      </c>
      <c r="U176" t="s">
        <v>92</v>
      </c>
      <c r="V176">
        <f t="shared" si="9"/>
        <v>8264.7029999999995</v>
      </c>
      <c r="W176">
        <f t="shared" si="10"/>
        <v>3495.9529999999995</v>
      </c>
      <c r="X176">
        <f t="shared" si="11"/>
        <v>42.299801940856192</v>
      </c>
      <c r="Y176">
        <f t="shared" si="12"/>
        <v>-171</v>
      </c>
      <c r="Z176" t="str" cm="1">
        <f t="array" ref="Z176">_xlfn.IFS(Y176&lt;0, "Invalid Date", ISBLANK(G176), "Missing Region", TRUE, "Clean")</f>
        <v>Invalid Date</v>
      </c>
    </row>
    <row r="177" spans="1:26">
      <c r="A177" t="s">
        <v>464</v>
      </c>
      <c r="B177" s="4">
        <v>45318</v>
      </c>
      <c r="C177" s="6">
        <v>45353</v>
      </c>
      <c r="D177" t="s">
        <v>2125</v>
      </c>
      <c r="E177" t="s">
        <v>49</v>
      </c>
      <c r="F177" t="s">
        <v>35</v>
      </c>
      <c r="G177" t="s">
        <v>36</v>
      </c>
      <c r="H177" t="s">
        <v>124</v>
      </c>
      <c r="I177" t="s">
        <v>125</v>
      </c>
      <c r="J177" t="s">
        <v>68</v>
      </c>
      <c r="K177" t="s">
        <v>219</v>
      </c>
      <c r="L177" t="s">
        <v>465</v>
      </c>
      <c r="M177" t="s">
        <v>42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31</v>
      </c>
      <c r="U177" t="s">
        <v>92</v>
      </c>
      <c r="V177">
        <f t="shared" si="9"/>
        <v>15906.849000000002</v>
      </c>
      <c r="W177">
        <f t="shared" si="10"/>
        <v>4892.3890000000029</v>
      </c>
      <c r="X177">
        <f t="shared" si="11"/>
        <v>30.756493633654298</v>
      </c>
      <c r="Y177">
        <f t="shared" si="12"/>
        <v>35</v>
      </c>
      <c r="Z177" t="str" cm="1">
        <f t="array" ref="Z177">_xlfn.IFS(Y177&lt;0, "Invalid Date", ISBLANK(G177), "Missing Region", TRUE, "Clean")</f>
        <v>Clean</v>
      </c>
    </row>
    <row r="178" spans="1:26">
      <c r="A178" t="s">
        <v>466</v>
      </c>
      <c r="B178" s="4">
        <v>45734</v>
      </c>
      <c r="C178" s="6">
        <v>45742</v>
      </c>
      <c r="D178" t="s">
        <v>2126</v>
      </c>
      <c r="E178" t="s">
        <v>65</v>
      </c>
      <c r="F178" t="s">
        <v>81</v>
      </c>
      <c r="G178" t="s">
        <v>36</v>
      </c>
      <c r="H178" t="s">
        <v>186</v>
      </c>
      <c r="I178" t="s">
        <v>187</v>
      </c>
      <c r="J178" t="s">
        <v>39</v>
      </c>
      <c r="K178" t="s">
        <v>134</v>
      </c>
      <c r="L178" t="s">
        <v>467</v>
      </c>
      <c r="M178" t="s">
        <v>55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31</v>
      </c>
      <c r="U178" t="s">
        <v>32</v>
      </c>
      <c r="V178">
        <f t="shared" si="9"/>
        <v>24229.011999999999</v>
      </c>
      <c r="W178">
        <f t="shared" si="10"/>
        <v>10318.371999999999</v>
      </c>
      <c r="X178">
        <f t="shared" si="11"/>
        <v>42.586845885420338</v>
      </c>
      <c r="Y178">
        <f t="shared" si="12"/>
        <v>8</v>
      </c>
      <c r="Z178" t="str" cm="1">
        <f t="array" ref="Z178">_xlfn.IFS(Y178&lt;0, "Invalid Date", ISBLANK(G178), "Missing Region", TRUE, "Clean")</f>
        <v>Clean</v>
      </c>
    </row>
    <row r="179" spans="1:26">
      <c r="A179" t="s">
        <v>468</v>
      </c>
      <c r="B179" s="4">
        <v>45297</v>
      </c>
      <c r="C179" s="6">
        <v>45446</v>
      </c>
      <c r="D179" t="s">
        <v>2127</v>
      </c>
      <c r="E179" t="s">
        <v>114</v>
      </c>
      <c r="F179" t="s">
        <v>85</v>
      </c>
      <c r="G179" t="s">
        <v>2806</v>
      </c>
      <c r="H179" t="s">
        <v>124</v>
      </c>
      <c r="I179" t="s">
        <v>125</v>
      </c>
      <c r="J179" t="s">
        <v>27</v>
      </c>
      <c r="K179" t="s">
        <v>45</v>
      </c>
      <c r="L179" t="s">
        <v>469</v>
      </c>
      <c r="M179" t="s">
        <v>42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31</v>
      </c>
      <c r="U179" t="s">
        <v>32</v>
      </c>
      <c r="V179">
        <f t="shared" si="9"/>
        <v>31039.599999999999</v>
      </c>
      <c r="W179">
        <f t="shared" si="10"/>
        <v>10172.879999999997</v>
      </c>
      <c r="X179">
        <f t="shared" si="11"/>
        <v>32.773875952009682</v>
      </c>
      <c r="Y179">
        <f t="shared" si="12"/>
        <v>149</v>
      </c>
      <c r="Z179" t="str" cm="1">
        <f t="array" ref="Z179">_xlfn.IFS(Y179&lt;0, "Invalid Date", ISBLANK(G179), "Missing Region", TRUE, "Clean")</f>
        <v>Clean</v>
      </c>
    </row>
    <row r="180" spans="1:26">
      <c r="A180" t="s">
        <v>470</v>
      </c>
      <c r="B180" s="4">
        <v>45565</v>
      </c>
      <c r="C180" s="6">
        <v>45565</v>
      </c>
      <c r="D180" t="s">
        <v>2128</v>
      </c>
      <c r="E180" t="s">
        <v>44</v>
      </c>
      <c r="F180" t="s">
        <v>81</v>
      </c>
      <c r="G180" t="s">
        <v>50</v>
      </c>
      <c r="H180" t="s">
        <v>51</v>
      </c>
      <c r="I180" t="s">
        <v>52</v>
      </c>
      <c r="J180" t="s">
        <v>27</v>
      </c>
      <c r="K180" t="s">
        <v>45</v>
      </c>
      <c r="L180" t="s">
        <v>471</v>
      </c>
      <c r="M180" t="s">
        <v>55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31</v>
      </c>
      <c r="U180" t="s">
        <v>32</v>
      </c>
      <c r="V180">
        <f t="shared" si="9"/>
        <v>13126.96</v>
      </c>
      <c r="W180">
        <f t="shared" si="10"/>
        <v>2394.5199999999986</v>
      </c>
      <c r="X180">
        <f t="shared" si="11"/>
        <v>18.24123787990516</v>
      </c>
      <c r="Y180">
        <f t="shared" si="12"/>
        <v>0</v>
      </c>
      <c r="Z180" t="str" cm="1">
        <f t="array" ref="Z180">_xlfn.IFS(Y180&lt;0, "Invalid Date", ISBLANK(G180), "Missing Region", TRUE, "Clean")</f>
        <v>Clean</v>
      </c>
    </row>
    <row r="181" spans="1:26">
      <c r="A181" t="s">
        <v>472</v>
      </c>
      <c r="B181" s="4">
        <v>45366</v>
      </c>
      <c r="C181" s="6">
        <v>45370</v>
      </c>
      <c r="D181" t="s">
        <v>2129</v>
      </c>
      <c r="E181" t="s">
        <v>57</v>
      </c>
      <c r="F181" t="s">
        <v>35</v>
      </c>
      <c r="G181" t="s">
        <v>50</v>
      </c>
      <c r="H181" t="s">
        <v>200</v>
      </c>
      <c r="I181" t="s">
        <v>201</v>
      </c>
      <c r="J181" t="s">
        <v>39</v>
      </c>
      <c r="K181" t="s">
        <v>53</v>
      </c>
      <c r="L181" t="s">
        <v>473</v>
      </c>
      <c r="M181" t="s">
        <v>55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91</v>
      </c>
      <c r="U181" t="s">
        <v>92</v>
      </c>
      <c r="V181">
        <f t="shared" si="9"/>
        <v>9558.9000000000015</v>
      </c>
      <c r="W181">
        <f t="shared" si="10"/>
        <v>4042.1400000000012</v>
      </c>
      <c r="X181">
        <f t="shared" si="11"/>
        <v>42.286664783604813</v>
      </c>
      <c r="Y181">
        <f t="shared" si="12"/>
        <v>4</v>
      </c>
      <c r="Z181" t="str" cm="1">
        <f t="array" ref="Z181">_xlfn.IFS(Y181&lt;0, "Invalid Date", ISBLANK(G181), "Missing Region", TRUE, "Clean")</f>
        <v>Clean</v>
      </c>
    </row>
    <row r="182" spans="1:26">
      <c r="A182" t="s">
        <v>474</v>
      </c>
      <c r="B182" s="4">
        <v>45530</v>
      </c>
      <c r="C182" s="6">
        <v>45530</v>
      </c>
      <c r="D182" t="s">
        <v>2130</v>
      </c>
      <c r="E182" t="s">
        <v>34</v>
      </c>
      <c r="F182" t="s">
        <v>85</v>
      </c>
      <c r="G182" t="s">
        <v>24</v>
      </c>
      <c r="H182" t="s">
        <v>117</v>
      </c>
      <c r="I182" t="s">
        <v>118</v>
      </c>
      <c r="J182" t="s">
        <v>446</v>
      </c>
      <c r="K182" t="s">
        <v>130</v>
      </c>
      <c r="L182" t="s">
        <v>475</v>
      </c>
      <c r="M182" t="s">
        <v>47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31</v>
      </c>
      <c r="U182" t="s">
        <v>32</v>
      </c>
      <c r="V182">
        <f t="shared" si="9"/>
        <v>5320.9170000000004</v>
      </c>
      <c r="W182">
        <f t="shared" si="10"/>
        <v>2279.4170000000004</v>
      </c>
      <c r="X182">
        <f t="shared" si="11"/>
        <v>42.838800154183957</v>
      </c>
      <c r="Y182">
        <f t="shared" si="12"/>
        <v>0</v>
      </c>
      <c r="Z182" t="str" cm="1">
        <f t="array" ref="Z182">_xlfn.IFS(Y182&lt;0, "Invalid Date", ISBLANK(G182), "Missing Region", TRUE, "Clean")</f>
        <v>Clean</v>
      </c>
    </row>
    <row r="183" spans="1:26">
      <c r="A183" t="s">
        <v>476</v>
      </c>
      <c r="B183" s="4">
        <v>45909</v>
      </c>
      <c r="C183" s="6">
        <v>45939</v>
      </c>
      <c r="D183" t="s">
        <v>2131</v>
      </c>
      <c r="E183" t="s">
        <v>100</v>
      </c>
      <c r="F183" t="s">
        <v>85</v>
      </c>
      <c r="G183" t="s">
        <v>50</v>
      </c>
      <c r="H183" t="s">
        <v>200</v>
      </c>
      <c r="I183" t="s">
        <v>201</v>
      </c>
      <c r="J183" t="s">
        <v>27</v>
      </c>
      <c r="K183" t="s">
        <v>45</v>
      </c>
      <c r="L183" t="s">
        <v>477</v>
      </c>
      <c r="M183" t="s">
        <v>30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31</v>
      </c>
      <c r="U183" t="s">
        <v>32</v>
      </c>
      <c r="V183">
        <f t="shared" si="9"/>
        <v>10205.799999999999</v>
      </c>
      <c r="W183">
        <f t="shared" si="10"/>
        <v>4219.4899999999989</v>
      </c>
      <c r="X183">
        <f t="shared" si="11"/>
        <v>41.344039663720622</v>
      </c>
      <c r="Y183">
        <f t="shared" si="12"/>
        <v>30</v>
      </c>
      <c r="Z183" t="str" cm="1">
        <f t="array" ref="Z183">_xlfn.IFS(Y183&lt;0, "Invalid Date", ISBLANK(G183), "Missing Region", TRUE, "Clean")</f>
        <v>Clean</v>
      </c>
    </row>
    <row r="184" spans="1:26">
      <c r="A184" t="s">
        <v>478</v>
      </c>
      <c r="B184" s="4">
        <v>45581</v>
      </c>
      <c r="C184" s="6">
        <v>45581</v>
      </c>
      <c r="D184" t="s">
        <v>2132</v>
      </c>
      <c r="E184" t="s">
        <v>57</v>
      </c>
      <c r="F184" t="s">
        <v>85</v>
      </c>
      <c r="G184" t="s">
        <v>36</v>
      </c>
      <c r="H184" t="s">
        <v>124</v>
      </c>
      <c r="I184" t="s">
        <v>125</v>
      </c>
      <c r="J184" t="s">
        <v>68</v>
      </c>
      <c r="K184" t="s">
        <v>219</v>
      </c>
      <c r="L184" t="s">
        <v>479</v>
      </c>
      <c r="M184" t="s">
        <v>55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31</v>
      </c>
      <c r="U184" t="s">
        <v>32</v>
      </c>
      <c r="V184">
        <f t="shared" si="9"/>
        <v>5430.3899999999994</v>
      </c>
      <c r="W184">
        <f t="shared" si="10"/>
        <v>1722.7299999999996</v>
      </c>
      <c r="X184">
        <f t="shared" si="11"/>
        <v>31.723872502711586</v>
      </c>
      <c r="Y184">
        <f t="shared" si="12"/>
        <v>0</v>
      </c>
      <c r="Z184" t="str" cm="1">
        <f t="array" ref="Z184">_xlfn.IFS(Y184&lt;0, "Invalid Date", ISBLANK(G184), "Missing Region", TRUE, "Clean")</f>
        <v>Clean</v>
      </c>
    </row>
    <row r="185" spans="1:26">
      <c r="A185" t="s">
        <v>480</v>
      </c>
      <c r="B185" s="4">
        <v>45832</v>
      </c>
      <c r="C185" s="6">
        <v>45835</v>
      </c>
      <c r="D185" t="s">
        <v>2133</v>
      </c>
      <c r="E185" t="s">
        <v>65</v>
      </c>
      <c r="F185" t="s">
        <v>85</v>
      </c>
      <c r="G185" t="s">
        <v>50</v>
      </c>
      <c r="H185" t="s">
        <v>51</v>
      </c>
      <c r="I185" t="s">
        <v>52</v>
      </c>
      <c r="J185" t="s">
        <v>68</v>
      </c>
      <c r="K185" t="s">
        <v>73</v>
      </c>
      <c r="L185" t="s">
        <v>481</v>
      </c>
      <c r="M185" t="s">
        <v>55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31</v>
      </c>
      <c r="U185" t="s">
        <v>92</v>
      </c>
      <c r="V185">
        <f t="shared" si="9"/>
        <v>12907.216</v>
      </c>
      <c r="W185">
        <f t="shared" si="10"/>
        <v>4579.3260000000009</v>
      </c>
      <c r="X185">
        <f t="shared" si="11"/>
        <v>35.478805034331188</v>
      </c>
      <c r="Y185">
        <f t="shared" si="12"/>
        <v>3</v>
      </c>
      <c r="Z185" t="str" cm="1">
        <f t="array" ref="Z185">_xlfn.IFS(Y185&lt;0, "Invalid Date", ISBLANK(G185), "Missing Region", TRUE, "Clean")</f>
        <v>Clean</v>
      </c>
    </row>
    <row r="186" spans="1:26">
      <c r="A186" t="s">
        <v>482</v>
      </c>
      <c r="B186" s="4">
        <v>45326</v>
      </c>
      <c r="C186" s="6">
        <v>45447</v>
      </c>
      <c r="D186" t="s">
        <v>2134</v>
      </c>
      <c r="E186" t="s">
        <v>65</v>
      </c>
      <c r="F186" t="s">
        <v>81</v>
      </c>
      <c r="G186" t="s">
        <v>58</v>
      </c>
      <c r="H186" t="s">
        <v>66</v>
      </c>
      <c r="I186" t="s">
        <v>67</v>
      </c>
      <c r="J186" t="s">
        <v>39</v>
      </c>
      <c r="K186" t="s">
        <v>134</v>
      </c>
      <c r="L186" t="s">
        <v>483</v>
      </c>
      <c r="M186" t="s">
        <v>55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91</v>
      </c>
      <c r="U186" t="s">
        <v>92</v>
      </c>
      <c r="V186">
        <f t="shared" si="9"/>
        <v>1777.96</v>
      </c>
      <c r="W186">
        <f t="shared" si="10"/>
        <v>756.80000000000007</v>
      </c>
      <c r="X186">
        <f t="shared" si="11"/>
        <v>42.56563702220523</v>
      </c>
      <c r="Y186">
        <f t="shared" si="12"/>
        <v>121</v>
      </c>
      <c r="Z186" t="str" cm="1">
        <f t="array" ref="Z186">_xlfn.IFS(Y186&lt;0, "Invalid Date", ISBLANK(G186), "Missing Region", TRUE, "Clean")</f>
        <v>Clean</v>
      </c>
    </row>
    <row r="187" spans="1:26">
      <c r="A187" t="s">
        <v>484</v>
      </c>
      <c r="B187" s="4">
        <v>45601</v>
      </c>
      <c r="C187" s="6">
        <v>45609</v>
      </c>
      <c r="D187" t="s">
        <v>2003</v>
      </c>
      <c r="E187" t="s">
        <v>49</v>
      </c>
      <c r="F187" t="s">
        <v>23</v>
      </c>
      <c r="G187" t="s">
        <v>2806</v>
      </c>
      <c r="H187" t="s">
        <v>106</v>
      </c>
      <c r="I187" t="s">
        <v>107</v>
      </c>
      <c r="J187" t="s">
        <v>27</v>
      </c>
      <c r="K187" t="s">
        <v>82</v>
      </c>
      <c r="L187" t="s">
        <v>485</v>
      </c>
      <c r="M187" t="s">
        <v>30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31</v>
      </c>
      <c r="U187" t="s">
        <v>32</v>
      </c>
      <c r="V187">
        <f t="shared" si="9"/>
        <v>1605.0720000000001</v>
      </c>
      <c r="W187">
        <f t="shared" si="10"/>
        <v>267.79200000000014</v>
      </c>
      <c r="X187">
        <f t="shared" si="11"/>
        <v>16.684111366966722</v>
      </c>
      <c r="Y187">
        <f t="shared" si="12"/>
        <v>8</v>
      </c>
      <c r="Z187" t="str" cm="1">
        <f t="array" ref="Z187">_xlfn.IFS(Y187&lt;0, "Invalid Date", ISBLANK(G187), "Missing Region", TRUE, "Clean")</f>
        <v>Clean</v>
      </c>
    </row>
    <row r="188" spans="1:26">
      <c r="A188" t="s">
        <v>486</v>
      </c>
      <c r="B188" s="4">
        <v>45492</v>
      </c>
      <c r="C188" s="6">
        <v>45493</v>
      </c>
      <c r="D188" t="s">
        <v>2135</v>
      </c>
      <c r="E188" t="s">
        <v>65</v>
      </c>
      <c r="F188" t="s">
        <v>23</v>
      </c>
      <c r="G188" t="s">
        <v>50</v>
      </c>
      <c r="H188" t="s">
        <v>200</v>
      </c>
      <c r="I188" t="s">
        <v>201</v>
      </c>
      <c r="J188" t="s">
        <v>39</v>
      </c>
      <c r="K188" t="s">
        <v>40</v>
      </c>
      <c r="L188" t="s">
        <v>487</v>
      </c>
      <c r="M188" t="s">
        <v>47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31</v>
      </c>
      <c r="U188" t="s">
        <v>32</v>
      </c>
      <c r="V188">
        <f t="shared" si="9"/>
        <v>23996.059499999996</v>
      </c>
      <c r="W188">
        <f t="shared" si="10"/>
        <v>3828.7794999999969</v>
      </c>
      <c r="X188">
        <f t="shared" si="11"/>
        <v>15.955867670689837</v>
      </c>
      <c r="Y188">
        <f t="shared" si="12"/>
        <v>1</v>
      </c>
      <c r="Z188" t="str" cm="1">
        <f t="array" ref="Z188">_xlfn.IFS(Y188&lt;0, "Invalid Date", ISBLANK(G188), "Missing Region", TRUE, "Clean")</f>
        <v>Clean</v>
      </c>
    </row>
    <row r="189" spans="1:26">
      <c r="A189" t="s">
        <v>488</v>
      </c>
      <c r="B189" s="4">
        <v>45662</v>
      </c>
      <c r="C189" s="6">
        <v>45693</v>
      </c>
      <c r="D189" t="s">
        <v>2136</v>
      </c>
      <c r="E189" t="s">
        <v>34</v>
      </c>
      <c r="F189" t="s">
        <v>23</v>
      </c>
      <c r="G189" t="s">
        <v>58</v>
      </c>
      <c r="H189" t="s">
        <v>66</v>
      </c>
      <c r="I189" t="s">
        <v>67</v>
      </c>
      <c r="J189" t="s">
        <v>39</v>
      </c>
      <c r="K189" t="s">
        <v>61</v>
      </c>
      <c r="L189" t="s">
        <v>489</v>
      </c>
      <c r="M189" t="s">
        <v>42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31</v>
      </c>
      <c r="U189" t="s">
        <v>92</v>
      </c>
      <c r="V189">
        <f t="shared" si="9"/>
        <v>8717.2199999999993</v>
      </c>
      <c r="W189">
        <f t="shared" si="10"/>
        <v>2501.2599999999993</v>
      </c>
      <c r="X189">
        <f t="shared" si="11"/>
        <v>28.693321953558581</v>
      </c>
      <c r="Y189">
        <f t="shared" si="12"/>
        <v>31</v>
      </c>
      <c r="Z189" t="str" cm="1">
        <f t="array" ref="Z189">_xlfn.IFS(Y189&lt;0, "Invalid Date", ISBLANK(G189), "Missing Region", TRUE, "Clean")</f>
        <v>Clean</v>
      </c>
    </row>
    <row r="190" spans="1:26">
      <c r="A190" t="s">
        <v>490</v>
      </c>
      <c r="B190" s="4">
        <v>45798</v>
      </c>
      <c r="C190" s="6">
        <v>45805</v>
      </c>
      <c r="D190" t="s">
        <v>2137</v>
      </c>
      <c r="E190" t="s">
        <v>100</v>
      </c>
      <c r="F190" t="s">
        <v>81</v>
      </c>
      <c r="G190" t="s">
        <v>36</v>
      </c>
      <c r="H190" t="s">
        <v>88</v>
      </c>
      <c r="I190" t="s">
        <v>89</v>
      </c>
      <c r="J190" t="s">
        <v>39</v>
      </c>
      <c r="K190" t="s">
        <v>134</v>
      </c>
      <c r="L190" t="s">
        <v>491</v>
      </c>
      <c r="M190" t="s">
        <v>42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31</v>
      </c>
      <c r="U190" t="s">
        <v>32</v>
      </c>
      <c r="V190">
        <f t="shared" si="9"/>
        <v>6407.2260000000006</v>
      </c>
      <c r="W190">
        <f t="shared" si="10"/>
        <v>1484.1360000000004</v>
      </c>
      <c r="X190">
        <f t="shared" si="11"/>
        <v>23.163471992403579</v>
      </c>
      <c r="Y190">
        <f t="shared" si="12"/>
        <v>7</v>
      </c>
      <c r="Z190" t="str" cm="1">
        <f t="array" ref="Z190">_xlfn.IFS(Y190&lt;0, "Invalid Date", ISBLANK(G190), "Missing Region", TRUE, "Clean")</f>
        <v>Clean</v>
      </c>
    </row>
    <row r="191" spans="1:26">
      <c r="A191" t="s">
        <v>492</v>
      </c>
      <c r="B191" s="4">
        <v>45813</v>
      </c>
      <c r="C191" s="6">
        <v>45843</v>
      </c>
      <c r="D191" t="s">
        <v>2138</v>
      </c>
      <c r="E191" t="s">
        <v>49</v>
      </c>
      <c r="F191" t="s">
        <v>23</v>
      </c>
      <c r="G191" t="s">
        <v>58</v>
      </c>
      <c r="H191" t="s">
        <v>25</v>
      </c>
      <c r="I191" t="s">
        <v>96</v>
      </c>
      <c r="J191" t="s">
        <v>39</v>
      </c>
      <c r="K191" t="s">
        <v>134</v>
      </c>
      <c r="L191" t="s">
        <v>493</v>
      </c>
      <c r="M191" t="s">
        <v>47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31</v>
      </c>
      <c r="U191" t="s">
        <v>494</v>
      </c>
      <c r="V191">
        <f t="shared" si="9"/>
        <v>29864.159999999996</v>
      </c>
      <c r="W191">
        <f t="shared" si="10"/>
        <v>12991.769999999997</v>
      </c>
      <c r="X191">
        <f t="shared" si="11"/>
        <v>43.502881045373449</v>
      </c>
      <c r="Y191">
        <f t="shared" si="12"/>
        <v>30</v>
      </c>
      <c r="Z191" t="str" cm="1">
        <f t="array" ref="Z191">_xlfn.IFS(Y191&lt;0, "Invalid Date", ISBLANK(G191), "Missing Region", TRUE, "Clean")</f>
        <v>Clean</v>
      </c>
    </row>
    <row r="192" spans="1:26">
      <c r="A192" t="s">
        <v>495</v>
      </c>
      <c r="B192" s="4">
        <v>45767</v>
      </c>
      <c r="C192" s="6">
        <v>45768</v>
      </c>
      <c r="D192" t="s">
        <v>2139</v>
      </c>
      <c r="E192" t="s">
        <v>80</v>
      </c>
      <c r="F192" t="s">
        <v>23</v>
      </c>
      <c r="G192" t="s">
        <v>50</v>
      </c>
      <c r="H192" t="s">
        <v>200</v>
      </c>
      <c r="I192" t="s">
        <v>201</v>
      </c>
      <c r="J192" t="s">
        <v>27</v>
      </c>
      <c r="K192" t="s">
        <v>108</v>
      </c>
      <c r="L192" t="s">
        <v>496</v>
      </c>
      <c r="M192" t="s">
        <v>47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31</v>
      </c>
      <c r="U192" t="s">
        <v>32</v>
      </c>
      <c r="V192">
        <f t="shared" si="9"/>
        <v>1458.2429999999999</v>
      </c>
      <c r="W192">
        <f t="shared" si="10"/>
        <v>514.92299999999989</v>
      </c>
      <c r="X192">
        <f t="shared" si="11"/>
        <v>35.311192990468662</v>
      </c>
      <c r="Y192">
        <f t="shared" si="12"/>
        <v>1</v>
      </c>
      <c r="Z192" t="str" cm="1">
        <f t="array" ref="Z192">_xlfn.IFS(Y192&lt;0, "Invalid Date", ISBLANK(G192), "Missing Region", TRUE, "Clean")</f>
        <v>Clean</v>
      </c>
    </row>
    <row r="193" spans="1:26">
      <c r="A193" t="s">
        <v>497</v>
      </c>
      <c r="B193" s="4">
        <v>45584</v>
      </c>
      <c r="C193" s="6">
        <v>45589</v>
      </c>
      <c r="D193" t="s">
        <v>2140</v>
      </c>
      <c r="E193" t="s">
        <v>114</v>
      </c>
      <c r="F193" t="s">
        <v>35</v>
      </c>
      <c r="G193" t="s">
        <v>50</v>
      </c>
      <c r="H193" t="s">
        <v>200</v>
      </c>
      <c r="I193" t="s">
        <v>201</v>
      </c>
      <c r="J193" t="s">
        <v>39</v>
      </c>
      <c r="K193" t="s">
        <v>134</v>
      </c>
      <c r="L193" t="s">
        <v>498</v>
      </c>
      <c r="M193" t="s">
        <v>30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31</v>
      </c>
      <c r="U193" t="s">
        <v>32</v>
      </c>
      <c r="V193">
        <f t="shared" si="9"/>
        <v>9047.64</v>
      </c>
      <c r="W193">
        <f t="shared" si="10"/>
        <v>-10350.040000000001</v>
      </c>
      <c r="X193">
        <f t="shared" si="11"/>
        <v>-114.39491403283068</v>
      </c>
      <c r="Y193">
        <f t="shared" si="12"/>
        <v>5</v>
      </c>
      <c r="Z193" t="str" cm="1">
        <f t="array" ref="Z193">_xlfn.IFS(Y193&lt;0, "Invalid Date", ISBLANK(G193), "Missing Region", TRUE, "Clean")</f>
        <v>Clean</v>
      </c>
    </row>
    <row r="194" spans="1:26">
      <c r="A194" t="s">
        <v>499</v>
      </c>
      <c r="B194" s="4">
        <v>45547</v>
      </c>
      <c r="C194" s="6">
        <v>45642</v>
      </c>
      <c r="D194" t="s">
        <v>2141</v>
      </c>
      <c r="E194" t="s">
        <v>44</v>
      </c>
      <c r="F194" t="s">
        <v>85</v>
      </c>
      <c r="G194" t="s">
        <v>58</v>
      </c>
      <c r="H194" t="s">
        <v>151</v>
      </c>
      <c r="I194" t="s">
        <v>152</v>
      </c>
      <c r="J194" t="s">
        <v>39</v>
      </c>
      <c r="K194" t="s">
        <v>61</v>
      </c>
      <c r="L194" t="s">
        <v>500</v>
      </c>
      <c r="M194" t="s">
        <v>47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31</v>
      </c>
      <c r="U194" t="s">
        <v>32</v>
      </c>
      <c r="V194">
        <f t="shared" si="9"/>
        <v>8764.1200000000008</v>
      </c>
      <c r="W194">
        <f t="shared" si="10"/>
        <v>1544.0700000000006</v>
      </c>
      <c r="X194">
        <f t="shared" si="11"/>
        <v>17.618083732308556</v>
      </c>
      <c r="Y194">
        <f t="shared" si="12"/>
        <v>95</v>
      </c>
      <c r="Z194" t="str" cm="1">
        <f t="array" ref="Z194">_xlfn.IFS(Y194&lt;0, "Invalid Date", ISBLANK(G194), "Missing Region", TRUE, "Clean")</f>
        <v>Clean</v>
      </c>
    </row>
    <row r="195" spans="1:26">
      <c r="A195" t="s">
        <v>501</v>
      </c>
      <c r="B195" s="4">
        <v>45466</v>
      </c>
      <c r="C195" s="6">
        <v>45471</v>
      </c>
      <c r="D195" t="s">
        <v>2142</v>
      </c>
      <c r="E195" t="s">
        <v>100</v>
      </c>
      <c r="F195" t="s">
        <v>35</v>
      </c>
      <c r="G195" t="s">
        <v>24</v>
      </c>
      <c r="H195" t="s">
        <v>106</v>
      </c>
      <c r="I195" t="s">
        <v>107</v>
      </c>
      <c r="J195" t="s">
        <v>68</v>
      </c>
      <c r="K195" t="s">
        <v>73</v>
      </c>
      <c r="L195" t="s">
        <v>502</v>
      </c>
      <c r="M195" t="s">
        <v>42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91</v>
      </c>
      <c r="U195" t="s">
        <v>92</v>
      </c>
      <c r="V195">
        <f t="shared" ref="V195:V258" si="13">N195*O195*(1- P195)</f>
        <v>9391.8240000000005</v>
      </c>
      <c r="W195">
        <f t="shared" ref="W195:W258" si="14">V195-R195</f>
        <v>3378.6040000000003</v>
      </c>
      <c r="X195">
        <f t="shared" ref="X195:X258" si="15">W195/V195*100</f>
        <v>35.973885370935399</v>
      </c>
      <c r="Y195">
        <f t="shared" si="12"/>
        <v>5</v>
      </c>
      <c r="Z195" t="str" cm="1">
        <f t="array" ref="Z195">_xlfn.IFS(Y195&lt;0, "Invalid Date", ISBLANK(G195), "Missing Region", TRUE, "Clean")</f>
        <v>Clean</v>
      </c>
    </row>
    <row r="196" spans="1:26">
      <c r="A196" t="s">
        <v>503</v>
      </c>
      <c r="B196" s="4">
        <v>45685</v>
      </c>
      <c r="C196" s="6">
        <v>45688</v>
      </c>
      <c r="D196" t="s">
        <v>2143</v>
      </c>
      <c r="E196" t="s">
        <v>100</v>
      </c>
      <c r="F196" t="s">
        <v>23</v>
      </c>
      <c r="G196" t="s">
        <v>58</v>
      </c>
      <c r="H196" t="s">
        <v>59</v>
      </c>
      <c r="I196" t="s">
        <v>60</v>
      </c>
      <c r="J196" t="s">
        <v>39</v>
      </c>
      <c r="K196" t="s">
        <v>53</v>
      </c>
      <c r="L196" t="s">
        <v>504</v>
      </c>
      <c r="M196" t="s">
        <v>47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98</v>
      </c>
      <c r="U196" t="s">
        <v>92</v>
      </c>
      <c r="V196">
        <f t="shared" si="13"/>
        <v>7339.2344999999996</v>
      </c>
      <c r="W196">
        <f t="shared" si="14"/>
        <v>1905.1144999999997</v>
      </c>
      <c r="X196">
        <f t="shared" si="15"/>
        <v>25.957945614082771</v>
      </c>
      <c r="Y196">
        <f t="shared" si="12"/>
        <v>3</v>
      </c>
      <c r="Z196" t="str" cm="1">
        <f t="array" ref="Z196">_xlfn.IFS(Y196&lt;0, "Invalid Date", ISBLANK(G196), "Missing Region", TRUE, "Clean")</f>
        <v>Clean</v>
      </c>
    </row>
    <row r="197" spans="1:26">
      <c r="A197" t="s">
        <v>505</v>
      </c>
      <c r="B197" s="4">
        <v>45860</v>
      </c>
      <c r="C197" s="6">
        <v>45862</v>
      </c>
      <c r="D197" t="s">
        <v>2144</v>
      </c>
      <c r="E197" t="s">
        <v>72</v>
      </c>
      <c r="F197" t="s">
        <v>85</v>
      </c>
      <c r="G197" t="s">
        <v>50</v>
      </c>
      <c r="H197" t="s">
        <v>76</v>
      </c>
      <c r="I197" t="s">
        <v>77</v>
      </c>
      <c r="J197" t="s">
        <v>39</v>
      </c>
      <c r="K197" t="s">
        <v>53</v>
      </c>
      <c r="L197" t="s">
        <v>506</v>
      </c>
      <c r="M197" t="s">
        <v>42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31</v>
      </c>
      <c r="U197" t="s">
        <v>32</v>
      </c>
      <c r="V197">
        <f t="shared" si="13"/>
        <v>9614.15</v>
      </c>
      <c r="W197">
        <f t="shared" si="14"/>
        <v>2037.3099999999995</v>
      </c>
      <c r="X197">
        <f t="shared" si="15"/>
        <v>21.190744891644083</v>
      </c>
      <c r="Y197">
        <f t="shared" si="12"/>
        <v>2</v>
      </c>
      <c r="Z197" t="str" cm="1">
        <f t="array" ref="Z197">_xlfn.IFS(Y197&lt;0, "Invalid Date", ISBLANK(G197), "Missing Region", TRUE, "Clean")</f>
        <v>Clean</v>
      </c>
    </row>
    <row r="198" spans="1:26">
      <c r="A198" t="s">
        <v>507</v>
      </c>
      <c r="B198" s="4">
        <v>45313</v>
      </c>
      <c r="C198" s="6">
        <v>45316</v>
      </c>
      <c r="D198" t="s">
        <v>2044</v>
      </c>
      <c r="E198" t="s">
        <v>212</v>
      </c>
      <c r="F198" t="s">
        <v>85</v>
      </c>
      <c r="G198" t="s">
        <v>24</v>
      </c>
      <c r="H198" t="s">
        <v>117</v>
      </c>
      <c r="I198" t="s">
        <v>118</v>
      </c>
      <c r="J198" t="s">
        <v>27</v>
      </c>
      <c r="K198" t="s">
        <v>108</v>
      </c>
      <c r="L198" t="s">
        <v>508</v>
      </c>
      <c r="M198" t="s">
        <v>47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31</v>
      </c>
      <c r="U198" t="s">
        <v>32</v>
      </c>
      <c r="V198">
        <f t="shared" si="13"/>
        <v>3272.4810000000002</v>
      </c>
      <c r="W198">
        <f t="shared" si="14"/>
        <v>755.04100000000017</v>
      </c>
      <c r="X198">
        <f t="shared" si="15"/>
        <v>23.072433422837292</v>
      </c>
      <c r="Y198">
        <f t="shared" si="12"/>
        <v>3</v>
      </c>
      <c r="Z198" t="str" cm="1">
        <f t="array" ref="Z198">_xlfn.IFS(Y198&lt;0, "Invalid Date", ISBLANK(G198), "Missing Region", TRUE, "Clean")</f>
        <v>Clean</v>
      </c>
    </row>
    <row r="199" spans="1:26">
      <c r="A199" t="s">
        <v>509</v>
      </c>
      <c r="B199" s="4">
        <v>45747</v>
      </c>
      <c r="C199" s="6">
        <v>45842</v>
      </c>
      <c r="D199" t="s">
        <v>2145</v>
      </c>
      <c r="E199" t="s">
        <v>103</v>
      </c>
      <c r="F199" t="s">
        <v>35</v>
      </c>
      <c r="G199" t="s">
        <v>36</v>
      </c>
      <c r="H199" t="s">
        <v>124</v>
      </c>
      <c r="I199" t="s">
        <v>125</v>
      </c>
      <c r="J199" t="s">
        <v>27</v>
      </c>
      <c r="K199" t="s">
        <v>108</v>
      </c>
      <c r="L199" t="s">
        <v>510</v>
      </c>
      <c r="M199" t="s">
        <v>30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31</v>
      </c>
      <c r="U199" t="s">
        <v>32</v>
      </c>
      <c r="V199">
        <f t="shared" si="13"/>
        <v>17409.869999999995</v>
      </c>
      <c r="W199">
        <f t="shared" si="14"/>
        <v>3333.6199999999953</v>
      </c>
      <c r="X199">
        <f t="shared" si="15"/>
        <v>19.147874165631311</v>
      </c>
      <c r="Y199">
        <f t="shared" ref="Y199:Y262" si="16">C199-B199</f>
        <v>95</v>
      </c>
      <c r="Z199" t="str" cm="1">
        <f t="array" ref="Z199">_xlfn.IFS(Y199&lt;0, "Invalid Date", ISBLANK(G199), "Missing Region", TRUE, "Clean")</f>
        <v>Clean</v>
      </c>
    </row>
    <row r="200" spans="1:26">
      <c r="A200" t="s">
        <v>511</v>
      </c>
      <c r="B200" s="4">
        <v>45418</v>
      </c>
      <c r="C200" s="6">
        <v>45449</v>
      </c>
      <c r="D200" t="s">
        <v>2146</v>
      </c>
      <c r="E200" t="s">
        <v>114</v>
      </c>
      <c r="F200" t="s">
        <v>23</v>
      </c>
      <c r="G200" t="s">
        <v>58</v>
      </c>
      <c r="H200" t="s">
        <v>151</v>
      </c>
      <c r="I200" t="s">
        <v>152</v>
      </c>
      <c r="J200" t="s">
        <v>27</v>
      </c>
      <c r="K200" t="s">
        <v>45</v>
      </c>
      <c r="L200" t="s">
        <v>512</v>
      </c>
      <c r="M200" t="s">
        <v>30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132</v>
      </c>
      <c r="U200" t="s">
        <v>63</v>
      </c>
      <c r="V200">
        <f t="shared" si="13"/>
        <v>1125.3509999999999</v>
      </c>
      <c r="W200">
        <f t="shared" si="14"/>
        <v>448.38099999999986</v>
      </c>
      <c r="X200">
        <f t="shared" si="15"/>
        <v>39.843657667696561</v>
      </c>
      <c r="Y200">
        <f t="shared" si="16"/>
        <v>31</v>
      </c>
      <c r="Z200" t="str" cm="1">
        <f t="array" ref="Z200">_xlfn.IFS(Y200&lt;0, "Invalid Date", ISBLANK(G200), "Missing Region", TRUE, "Clean")</f>
        <v>Clean</v>
      </c>
    </row>
    <row r="201" spans="1:26">
      <c r="A201" t="s">
        <v>513</v>
      </c>
      <c r="B201" s="4">
        <v>45363</v>
      </c>
      <c r="C201" s="6">
        <v>45629</v>
      </c>
      <c r="D201" t="s">
        <v>2147</v>
      </c>
      <c r="E201" t="s">
        <v>103</v>
      </c>
      <c r="F201" t="s">
        <v>85</v>
      </c>
      <c r="G201" t="s">
        <v>36</v>
      </c>
      <c r="H201" t="s">
        <v>124</v>
      </c>
      <c r="I201" t="s">
        <v>125</v>
      </c>
      <c r="J201" t="s">
        <v>68</v>
      </c>
      <c r="K201" t="s">
        <v>219</v>
      </c>
      <c r="L201" t="s">
        <v>514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31</v>
      </c>
      <c r="U201" t="s">
        <v>32</v>
      </c>
      <c r="V201">
        <f t="shared" si="13"/>
        <v>9835.11</v>
      </c>
      <c r="W201">
        <f t="shared" si="14"/>
        <v>4397.47</v>
      </c>
      <c r="X201">
        <f t="shared" si="15"/>
        <v>44.711955433136993</v>
      </c>
      <c r="Y201">
        <f t="shared" si="16"/>
        <v>266</v>
      </c>
      <c r="Z201" t="str" cm="1">
        <f t="array" ref="Z201">_xlfn.IFS(Y201&lt;0, "Invalid Date", ISBLANK(G201), "Missing Region", TRUE, "Clean")</f>
        <v>Clean</v>
      </c>
    </row>
    <row r="202" spans="1:26">
      <c r="A202" t="s">
        <v>515</v>
      </c>
      <c r="B202" s="4">
        <v>45835</v>
      </c>
      <c r="C202" s="6">
        <v>45784</v>
      </c>
      <c r="D202" t="s">
        <v>2148</v>
      </c>
      <c r="E202" t="s">
        <v>100</v>
      </c>
      <c r="F202" t="s">
        <v>35</v>
      </c>
      <c r="G202" t="s">
        <v>24</v>
      </c>
      <c r="H202" t="s">
        <v>25</v>
      </c>
      <c r="I202" t="s">
        <v>26</v>
      </c>
      <c r="J202" t="s">
        <v>68</v>
      </c>
      <c r="K202" t="s">
        <v>73</v>
      </c>
      <c r="L202" t="s">
        <v>516</v>
      </c>
      <c r="M202" t="s">
        <v>47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98</v>
      </c>
      <c r="U202" t="s">
        <v>63</v>
      </c>
      <c r="V202">
        <f t="shared" si="13"/>
        <v>12907.980000000001</v>
      </c>
      <c r="W202">
        <f t="shared" si="14"/>
        <v>3710.9000000000015</v>
      </c>
      <c r="X202">
        <f t="shared" si="15"/>
        <v>28.748882474252369</v>
      </c>
      <c r="Y202">
        <f t="shared" si="16"/>
        <v>-51</v>
      </c>
      <c r="Z202" t="str" cm="1">
        <f t="array" ref="Z202">_xlfn.IFS(Y202&lt;0, "Invalid Date", ISBLANK(G202), "Missing Region", TRUE, "Clean")</f>
        <v>Invalid Date</v>
      </c>
    </row>
    <row r="203" spans="1:26">
      <c r="A203" t="s">
        <v>517</v>
      </c>
      <c r="B203" s="4">
        <v>45864</v>
      </c>
      <c r="C203" s="6">
        <v>45872</v>
      </c>
      <c r="D203" t="s">
        <v>2149</v>
      </c>
      <c r="E203" t="s">
        <v>65</v>
      </c>
      <c r="F203" t="s">
        <v>23</v>
      </c>
      <c r="G203" t="s">
        <v>58</v>
      </c>
      <c r="H203" t="s">
        <v>66</v>
      </c>
      <c r="I203" t="s">
        <v>67</v>
      </c>
      <c r="J203" t="s">
        <v>27</v>
      </c>
      <c r="K203" t="s">
        <v>82</v>
      </c>
      <c r="L203" t="s">
        <v>518</v>
      </c>
      <c r="M203" t="s">
        <v>30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91</v>
      </c>
      <c r="U203" t="s">
        <v>63</v>
      </c>
      <c r="V203">
        <f t="shared" si="13"/>
        <v>5808.1895999999997</v>
      </c>
      <c r="W203">
        <f t="shared" si="14"/>
        <v>2853.3295999999996</v>
      </c>
      <c r="X203">
        <f t="shared" si="15"/>
        <v>49.125972058487896</v>
      </c>
      <c r="Y203">
        <f t="shared" si="16"/>
        <v>8</v>
      </c>
      <c r="Z203" t="str" cm="1">
        <f t="array" ref="Z203">_xlfn.IFS(Y203&lt;0, "Invalid Date", ISBLANK(G203), "Missing Region", TRUE, "Clean")</f>
        <v>Clean</v>
      </c>
    </row>
    <row r="204" spans="1:26">
      <c r="A204" t="s">
        <v>519</v>
      </c>
      <c r="B204" s="4">
        <v>45744</v>
      </c>
      <c r="C204" s="6">
        <v>45744</v>
      </c>
      <c r="D204" t="s">
        <v>2150</v>
      </c>
      <c r="E204" t="s">
        <v>114</v>
      </c>
      <c r="F204" t="s">
        <v>81</v>
      </c>
      <c r="G204" t="s">
        <v>58</v>
      </c>
      <c r="H204" t="s">
        <v>159</v>
      </c>
      <c r="I204" t="s">
        <v>160</v>
      </c>
      <c r="J204" t="s">
        <v>68</v>
      </c>
      <c r="K204" t="s">
        <v>69</v>
      </c>
      <c r="L204" t="s">
        <v>520</v>
      </c>
      <c r="M204" t="s">
        <v>55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31</v>
      </c>
      <c r="U204" t="s">
        <v>32</v>
      </c>
      <c r="V204">
        <f t="shared" si="13"/>
        <v>13231.144</v>
      </c>
      <c r="W204">
        <f t="shared" si="14"/>
        <v>1941.0840000000007</v>
      </c>
      <c r="X204">
        <f t="shared" si="15"/>
        <v>14.670568168557462</v>
      </c>
      <c r="Y204">
        <f t="shared" si="16"/>
        <v>0</v>
      </c>
      <c r="Z204" t="str" cm="1">
        <f t="array" ref="Z204">_xlfn.IFS(Y204&lt;0, "Invalid Date", ISBLANK(G204), "Missing Region", TRUE, "Clean")</f>
        <v>Clean</v>
      </c>
    </row>
    <row r="205" spans="1:26">
      <c r="A205" t="s">
        <v>521</v>
      </c>
      <c r="B205" s="4">
        <v>45379</v>
      </c>
      <c r="C205" s="6">
        <v>45381</v>
      </c>
      <c r="D205" t="s">
        <v>2151</v>
      </c>
      <c r="E205" t="s">
        <v>114</v>
      </c>
      <c r="F205" t="s">
        <v>81</v>
      </c>
      <c r="G205" t="s">
        <v>58</v>
      </c>
      <c r="H205" t="s">
        <v>25</v>
      </c>
      <c r="I205" t="s">
        <v>96</v>
      </c>
      <c r="J205" t="s">
        <v>68</v>
      </c>
      <c r="K205" t="s">
        <v>69</v>
      </c>
      <c r="L205" t="s">
        <v>522</v>
      </c>
      <c r="M205" t="s">
        <v>30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31</v>
      </c>
      <c r="U205" t="s">
        <v>32</v>
      </c>
      <c r="V205">
        <f t="shared" si="13"/>
        <v>484.78899999999999</v>
      </c>
      <c r="W205">
        <f t="shared" si="14"/>
        <v>151.24899999999997</v>
      </c>
      <c r="X205">
        <f t="shared" si="15"/>
        <v>31.198933969211339</v>
      </c>
      <c r="Y205">
        <f t="shared" si="16"/>
        <v>2</v>
      </c>
      <c r="Z205" t="str" cm="1">
        <f t="array" ref="Z205">_xlfn.IFS(Y205&lt;0, "Invalid Date", ISBLANK(G205), "Missing Region", TRUE, "Clean")</f>
        <v>Clean</v>
      </c>
    </row>
    <row r="206" spans="1:26">
      <c r="A206" t="s">
        <v>523</v>
      </c>
      <c r="B206" s="4">
        <v>45858</v>
      </c>
      <c r="C206" s="6">
        <v>45861</v>
      </c>
      <c r="D206" t="s">
        <v>2152</v>
      </c>
      <c r="E206" t="s">
        <v>34</v>
      </c>
      <c r="F206" t="s">
        <v>85</v>
      </c>
      <c r="G206" t="s">
        <v>36</v>
      </c>
      <c r="H206" t="s">
        <v>88</v>
      </c>
      <c r="I206" t="s">
        <v>89</v>
      </c>
      <c r="J206" t="s">
        <v>39</v>
      </c>
      <c r="K206" t="s">
        <v>40</v>
      </c>
      <c r="L206" t="s">
        <v>524</v>
      </c>
      <c r="M206" t="s">
        <v>30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31</v>
      </c>
      <c r="U206" t="s">
        <v>32</v>
      </c>
      <c r="V206">
        <f t="shared" si="13"/>
        <v>1624.146</v>
      </c>
      <c r="W206">
        <f t="shared" si="14"/>
        <v>406.15599999999995</v>
      </c>
      <c r="X206">
        <f t="shared" si="15"/>
        <v>25.007357712914967</v>
      </c>
      <c r="Y206">
        <f t="shared" si="16"/>
        <v>3</v>
      </c>
      <c r="Z206" t="str" cm="1">
        <f t="array" ref="Z206">_xlfn.IFS(Y206&lt;0, "Invalid Date", ISBLANK(G206), "Missing Region", TRUE, "Clean")</f>
        <v>Clean</v>
      </c>
    </row>
    <row r="207" spans="1:26">
      <c r="A207" t="s">
        <v>525</v>
      </c>
      <c r="B207" s="4">
        <v>45768</v>
      </c>
      <c r="C207" s="6">
        <v>45773</v>
      </c>
      <c r="D207" t="s">
        <v>2153</v>
      </c>
      <c r="E207" t="s">
        <v>57</v>
      </c>
      <c r="F207" t="s">
        <v>23</v>
      </c>
      <c r="G207" t="s">
        <v>58</v>
      </c>
      <c r="H207" t="s">
        <v>59</v>
      </c>
      <c r="I207" t="s">
        <v>60</v>
      </c>
      <c r="J207" t="s">
        <v>446</v>
      </c>
      <c r="K207" t="s">
        <v>82</v>
      </c>
      <c r="L207" t="s">
        <v>526</v>
      </c>
      <c r="M207" t="s">
        <v>42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31</v>
      </c>
      <c r="U207" t="s">
        <v>32</v>
      </c>
      <c r="V207">
        <f t="shared" si="13"/>
        <v>4193.232</v>
      </c>
      <c r="W207">
        <f t="shared" si="14"/>
        <v>863.24200000000019</v>
      </c>
      <c r="X207">
        <f t="shared" si="15"/>
        <v>20.586554714835721</v>
      </c>
      <c r="Y207">
        <f t="shared" si="16"/>
        <v>5</v>
      </c>
      <c r="Z207" t="str" cm="1">
        <f t="array" ref="Z207">_xlfn.IFS(Y207&lt;0, "Invalid Date", ISBLANK(G207), "Missing Region", TRUE, "Clean")</f>
        <v>Clean</v>
      </c>
    </row>
    <row r="208" spans="1:26">
      <c r="A208" t="s">
        <v>527</v>
      </c>
      <c r="B208" s="4">
        <v>45795</v>
      </c>
      <c r="C208" s="6">
        <v>45797</v>
      </c>
      <c r="D208" t="s">
        <v>2154</v>
      </c>
      <c r="E208" t="s">
        <v>137</v>
      </c>
      <c r="F208" t="s">
        <v>35</v>
      </c>
      <c r="G208" t="s">
        <v>24</v>
      </c>
      <c r="H208" t="s">
        <v>117</v>
      </c>
      <c r="I208" t="s">
        <v>118</v>
      </c>
      <c r="J208" t="s">
        <v>39</v>
      </c>
      <c r="K208" t="s">
        <v>53</v>
      </c>
      <c r="L208" t="s">
        <v>528</v>
      </c>
      <c r="M208" t="s">
        <v>47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31</v>
      </c>
      <c r="U208" t="s">
        <v>32</v>
      </c>
      <c r="V208">
        <f t="shared" si="13"/>
        <v>430.26</v>
      </c>
      <c r="W208">
        <f t="shared" si="14"/>
        <v>143.88</v>
      </c>
      <c r="X208">
        <f t="shared" si="15"/>
        <v>33.440245432994004</v>
      </c>
      <c r="Y208">
        <f t="shared" si="16"/>
        <v>2</v>
      </c>
      <c r="Z208" t="str" cm="1">
        <f t="array" ref="Z208">_xlfn.IFS(Y208&lt;0, "Invalid Date", ISBLANK(G208), "Missing Region", TRUE, "Clean")</f>
        <v>Clean</v>
      </c>
    </row>
    <row r="209" spans="1:26">
      <c r="A209" t="s">
        <v>529</v>
      </c>
      <c r="B209" s="4">
        <v>45572</v>
      </c>
      <c r="C209" s="6">
        <v>45489</v>
      </c>
      <c r="D209" t="s">
        <v>2155</v>
      </c>
      <c r="E209" t="s">
        <v>111</v>
      </c>
      <c r="F209" t="s">
        <v>85</v>
      </c>
      <c r="G209" t="s">
        <v>58</v>
      </c>
      <c r="H209" t="s">
        <v>159</v>
      </c>
      <c r="I209" t="s">
        <v>160</v>
      </c>
      <c r="J209" t="s">
        <v>39</v>
      </c>
      <c r="K209" t="s">
        <v>134</v>
      </c>
      <c r="L209" t="s">
        <v>530</v>
      </c>
      <c r="M209" t="s">
        <v>30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31</v>
      </c>
      <c r="U209" t="s">
        <v>32</v>
      </c>
      <c r="V209">
        <f t="shared" si="13"/>
        <v>1752.7200000000003</v>
      </c>
      <c r="W209">
        <f t="shared" si="14"/>
        <v>756.31000000000029</v>
      </c>
      <c r="X209">
        <f t="shared" si="15"/>
        <v>43.150645853302308</v>
      </c>
      <c r="Y209">
        <f t="shared" si="16"/>
        <v>-83</v>
      </c>
      <c r="Z209" t="str" cm="1">
        <f t="array" ref="Z209">_xlfn.IFS(Y209&lt;0, "Invalid Date", ISBLANK(G209), "Missing Region", TRUE, "Clean")</f>
        <v>Invalid Date</v>
      </c>
    </row>
    <row r="210" spans="1:26">
      <c r="A210" t="s">
        <v>531</v>
      </c>
      <c r="B210" s="4">
        <v>45837</v>
      </c>
      <c r="C210" s="6">
        <v>45784</v>
      </c>
      <c r="D210" t="s">
        <v>2156</v>
      </c>
      <c r="E210" t="s">
        <v>137</v>
      </c>
      <c r="F210" t="s">
        <v>23</v>
      </c>
      <c r="G210" t="s">
        <v>24</v>
      </c>
      <c r="H210" t="s">
        <v>106</v>
      </c>
      <c r="I210" t="s">
        <v>107</v>
      </c>
      <c r="J210" t="s">
        <v>39</v>
      </c>
      <c r="K210" t="s">
        <v>61</v>
      </c>
      <c r="L210" t="s">
        <v>532</v>
      </c>
      <c r="M210" t="s">
        <v>42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31</v>
      </c>
      <c r="U210" t="s">
        <v>32</v>
      </c>
      <c r="V210">
        <f t="shared" si="13"/>
        <v>999.83</v>
      </c>
      <c r="W210">
        <f t="shared" si="14"/>
        <v>364.92000000000007</v>
      </c>
      <c r="X210">
        <f t="shared" si="15"/>
        <v>36.498204694798119</v>
      </c>
      <c r="Y210">
        <f t="shared" si="16"/>
        <v>-53</v>
      </c>
      <c r="Z210" t="str" cm="1">
        <f t="array" ref="Z210">_xlfn.IFS(Y210&lt;0, "Invalid Date", ISBLANK(G210), "Missing Region", TRUE, "Clean")</f>
        <v>Invalid Date</v>
      </c>
    </row>
    <row r="211" spans="1:26">
      <c r="A211" t="s">
        <v>533</v>
      </c>
      <c r="B211" s="4">
        <v>45882</v>
      </c>
      <c r="C211" s="6">
        <v>45883</v>
      </c>
      <c r="D211" t="s">
        <v>2157</v>
      </c>
      <c r="E211" t="s">
        <v>121</v>
      </c>
      <c r="F211" t="s">
        <v>35</v>
      </c>
      <c r="G211" t="s">
        <v>50</v>
      </c>
      <c r="H211" t="s">
        <v>76</v>
      </c>
      <c r="I211" t="s">
        <v>77</v>
      </c>
      <c r="J211" t="s">
        <v>27</v>
      </c>
      <c r="K211" t="s">
        <v>28</v>
      </c>
      <c r="L211" t="s">
        <v>534</v>
      </c>
      <c r="M211" t="s">
        <v>47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31</v>
      </c>
      <c r="U211" t="s">
        <v>32</v>
      </c>
      <c r="V211">
        <f t="shared" si="13"/>
        <v>7006.3379999999997</v>
      </c>
      <c r="W211">
        <f t="shared" si="14"/>
        <v>2365.4579999999996</v>
      </c>
      <c r="X211">
        <f t="shared" si="15"/>
        <v>33.761688345609357</v>
      </c>
      <c r="Y211">
        <f t="shared" si="16"/>
        <v>1</v>
      </c>
      <c r="Z211" t="str" cm="1">
        <f t="array" ref="Z211">_xlfn.IFS(Y211&lt;0, "Invalid Date", ISBLANK(G211), "Missing Region", TRUE, "Clean")</f>
        <v>Clean</v>
      </c>
    </row>
    <row r="212" spans="1:26">
      <c r="A212" t="s">
        <v>535</v>
      </c>
      <c r="B212" s="4">
        <v>45366</v>
      </c>
      <c r="C212" s="6">
        <v>45369</v>
      </c>
      <c r="D212" t="s">
        <v>2158</v>
      </c>
      <c r="E212" t="s">
        <v>212</v>
      </c>
      <c r="F212" t="s">
        <v>85</v>
      </c>
      <c r="G212" t="s">
        <v>50</v>
      </c>
      <c r="H212" t="s">
        <v>147</v>
      </c>
      <c r="I212" t="s">
        <v>148</v>
      </c>
      <c r="J212" t="s">
        <v>68</v>
      </c>
      <c r="K212" t="s">
        <v>219</v>
      </c>
      <c r="L212" t="s">
        <v>536</v>
      </c>
      <c r="M212" t="s">
        <v>30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132</v>
      </c>
      <c r="U212" t="s">
        <v>92</v>
      </c>
      <c r="V212">
        <f t="shared" si="13"/>
        <v>4131.3599999999997</v>
      </c>
      <c r="W212">
        <f t="shared" si="14"/>
        <v>1194.2899999999995</v>
      </c>
      <c r="X212">
        <f t="shared" si="15"/>
        <v>28.907914100925591</v>
      </c>
      <c r="Y212">
        <f t="shared" si="16"/>
        <v>3</v>
      </c>
      <c r="Z212" t="str" cm="1">
        <f t="array" ref="Z212">_xlfn.IFS(Y212&lt;0, "Invalid Date", ISBLANK(G212), "Missing Region", TRUE, "Clean")</f>
        <v>Clean</v>
      </c>
    </row>
    <row r="213" spans="1:26">
      <c r="A213" t="s">
        <v>537</v>
      </c>
      <c r="B213" s="4">
        <v>45428</v>
      </c>
      <c r="C213" s="6">
        <v>45429</v>
      </c>
      <c r="D213" t="s">
        <v>2159</v>
      </c>
      <c r="E213" t="s">
        <v>121</v>
      </c>
      <c r="F213" t="s">
        <v>81</v>
      </c>
      <c r="G213" t="s">
        <v>36</v>
      </c>
      <c r="H213" t="s">
        <v>88</v>
      </c>
      <c r="I213" t="s">
        <v>89</v>
      </c>
      <c r="J213" t="s">
        <v>68</v>
      </c>
      <c r="K213" t="s">
        <v>73</v>
      </c>
      <c r="L213" t="s">
        <v>538</v>
      </c>
      <c r="M213" t="s">
        <v>30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31</v>
      </c>
      <c r="U213" t="s">
        <v>32</v>
      </c>
      <c r="V213">
        <f t="shared" si="13"/>
        <v>27020.48</v>
      </c>
      <c r="W213">
        <f t="shared" si="14"/>
        <v>4135.239999999998</v>
      </c>
      <c r="X213">
        <f t="shared" si="15"/>
        <v>15.304095264036752</v>
      </c>
      <c r="Y213">
        <f t="shared" si="16"/>
        <v>1</v>
      </c>
      <c r="Z213" t="str" cm="1">
        <f t="array" ref="Z213">_xlfn.IFS(Y213&lt;0, "Invalid Date", ISBLANK(G213), "Missing Region", TRUE, "Clean")</f>
        <v>Clean</v>
      </c>
    </row>
    <row r="214" spans="1:26">
      <c r="A214" t="s">
        <v>539</v>
      </c>
      <c r="B214" s="4">
        <v>45556</v>
      </c>
      <c r="C214" s="6">
        <v>45556</v>
      </c>
      <c r="D214" t="s">
        <v>2160</v>
      </c>
      <c r="E214" t="s">
        <v>57</v>
      </c>
      <c r="F214" t="s">
        <v>35</v>
      </c>
      <c r="G214" t="s">
        <v>36</v>
      </c>
      <c r="H214" t="s">
        <v>37</v>
      </c>
      <c r="I214" t="s">
        <v>38</v>
      </c>
      <c r="J214" t="s">
        <v>68</v>
      </c>
      <c r="K214" t="s">
        <v>144</v>
      </c>
      <c r="L214" t="s">
        <v>540</v>
      </c>
      <c r="M214" t="s">
        <v>42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31</v>
      </c>
      <c r="U214" t="s">
        <v>32</v>
      </c>
      <c r="V214">
        <f t="shared" si="13"/>
        <v>364.65</v>
      </c>
      <c r="W214">
        <f t="shared" si="14"/>
        <v>83.909999999999968</v>
      </c>
      <c r="X214">
        <f t="shared" si="15"/>
        <v>23.011106540518298</v>
      </c>
      <c r="Y214">
        <f t="shared" si="16"/>
        <v>0</v>
      </c>
      <c r="Z214" t="str" cm="1">
        <f t="array" ref="Z214">_xlfn.IFS(Y214&lt;0, "Invalid Date", ISBLANK(G214), "Missing Region", TRUE, "Clean")</f>
        <v>Clean</v>
      </c>
    </row>
    <row r="215" spans="1:26">
      <c r="A215" t="s">
        <v>541</v>
      </c>
      <c r="B215" s="4">
        <v>45427</v>
      </c>
      <c r="C215" s="6">
        <v>45433</v>
      </c>
      <c r="D215" t="s">
        <v>2161</v>
      </c>
      <c r="E215" t="s">
        <v>44</v>
      </c>
      <c r="F215" t="s">
        <v>35</v>
      </c>
      <c r="G215" t="s">
        <v>36</v>
      </c>
      <c r="H215" t="s">
        <v>124</v>
      </c>
      <c r="I215" t="s">
        <v>125</v>
      </c>
      <c r="J215" t="s">
        <v>68</v>
      </c>
      <c r="K215" t="s">
        <v>69</v>
      </c>
      <c r="L215" t="s">
        <v>542</v>
      </c>
      <c r="M215" t="s">
        <v>30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31</v>
      </c>
      <c r="U215" t="s">
        <v>32</v>
      </c>
      <c r="V215">
        <f t="shared" si="13"/>
        <v>13864.735999999999</v>
      </c>
      <c r="W215">
        <f t="shared" si="14"/>
        <v>2570.6759999999995</v>
      </c>
      <c r="X215">
        <f t="shared" si="15"/>
        <v>18.541110339208764</v>
      </c>
      <c r="Y215">
        <f t="shared" si="16"/>
        <v>6</v>
      </c>
      <c r="Z215" t="str" cm="1">
        <f t="array" ref="Z215">_xlfn.IFS(Y215&lt;0, "Invalid Date", ISBLANK(G215), "Missing Region", TRUE, "Clean")</f>
        <v>Clean</v>
      </c>
    </row>
    <row r="216" spans="1:26">
      <c r="A216" t="s">
        <v>543</v>
      </c>
      <c r="B216" s="4">
        <v>45368</v>
      </c>
      <c r="C216" s="6">
        <v>45374</v>
      </c>
      <c r="D216" t="s">
        <v>2162</v>
      </c>
      <c r="E216" t="s">
        <v>103</v>
      </c>
      <c r="F216" t="s">
        <v>23</v>
      </c>
      <c r="G216" t="s">
        <v>24</v>
      </c>
      <c r="H216" t="s">
        <v>192</v>
      </c>
      <c r="I216" t="s">
        <v>193</v>
      </c>
      <c r="J216" t="s">
        <v>68</v>
      </c>
      <c r="K216" t="s">
        <v>69</v>
      </c>
      <c r="L216" t="s">
        <v>544</v>
      </c>
      <c r="M216" t="s">
        <v>47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31</v>
      </c>
      <c r="U216" t="s">
        <v>32</v>
      </c>
      <c r="V216">
        <f t="shared" si="13"/>
        <v>707.31299999999999</v>
      </c>
      <c r="W216">
        <f t="shared" si="14"/>
        <v>138.31299999999999</v>
      </c>
      <c r="X216">
        <f t="shared" si="15"/>
        <v>19.554709159876886</v>
      </c>
      <c r="Y216">
        <f t="shared" si="16"/>
        <v>6</v>
      </c>
      <c r="Z216" t="str" cm="1">
        <f t="array" ref="Z216">_xlfn.IFS(Y216&lt;0, "Invalid Date", ISBLANK(G216), "Missing Region", TRUE, "Clean")</f>
        <v>Clean</v>
      </c>
    </row>
    <row r="217" spans="1:26">
      <c r="A217" t="s">
        <v>545</v>
      </c>
      <c r="B217" s="4">
        <v>45294</v>
      </c>
      <c r="C217" s="6">
        <v>45385</v>
      </c>
      <c r="D217" t="s">
        <v>2163</v>
      </c>
      <c r="E217" t="s">
        <v>34</v>
      </c>
      <c r="F217" t="s">
        <v>23</v>
      </c>
      <c r="G217" t="s">
        <v>58</v>
      </c>
      <c r="H217" t="s">
        <v>66</v>
      </c>
      <c r="I217" t="s">
        <v>67</v>
      </c>
      <c r="J217" t="s">
        <v>27</v>
      </c>
      <c r="K217" t="s">
        <v>28</v>
      </c>
      <c r="L217" t="s">
        <v>546</v>
      </c>
      <c r="M217" t="s">
        <v>47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31</v>
      </c>
      <c r="U217" t="s">
        <v>32</v>
      </c>
      <c r="V217">
        <f t="shared" si="13"/>
        <v>19214.400000000001</v>
      </c>
      <c r="W217">
        <f t="shared" si="14"/>
        <v>8298.3900000000012</v>
      </c>
      <c r="X217">
        <f t="shared" si="15"/>
        <v>43.188389957531854</v>
      </c>
      <c r="Y217">
        <f t="shared" si="16"/>
        <v>91</v>
      </c>
      <c r="Z217" t="str" cm="1">
        <f t="array" ref="Z217">_xlfn.IFS(Y217&lt;0, "Invalid Date", ISBLANK(G217), "Missing Region", TRUE, "Clean")</f>
        <v>Clean</v>
      </c>
    </row>
    <row r="218" spans="1:26">
      <c r="A218" t="s">
        <v>547</v>
      </c>
      <c r="B218" s="4">
        <v>45757</v>
      </c>
      <c r="C218" s="6">
        <v>45762</v>
      </c>
      <c r="D218" t="s">
        <v>2164</v>
      </c>
      <c r="E218" t="s">
        <v>44</v>
      </c>
      <c r="F218" t="s">
        <v>23</v>
      </c>
      <c r="G218" t="s">
        <v>58</v>
      </c>
      <c r="H218" t="s">
        <v>151</v>
      </c>
      <c r="I218" t="s">
        <v>152</v>
      </c>
      <c r="J218" t="s">
        <v>39</v>
      </c>
      <c r="K218" t="s">
        <v>40</v>
      </c>
      <c r="L218" t="s">
        <v>548</v>
      </c>
      <c r="M218" t="s">
        <v>55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132</v>
      </c>
      <c r="U218" t="s">
        <v>92</v>
      </c>
      <c r="V218">
        <f t="shared" si="13"/>
        <v>11039.22</v>
      </c>
      <c r="W218">
        <f t="shared" si="14"/>
        <v>3396.3099999999995</v>
      </c>
      <c r="X218">
        <f t="shared" si="15"/>
        <v>30.765851210502188</v>
      </c>
      <c r="Y218">
        <f t="shared" si="16"/>
        <v>5</v>
      </c>
      <c r="Z218" t="str" cm="1">
        <f t="array" ref="Z218">_xlfn.IFS(Y218&lt;0, "Invalid Date", ISBLANK(G218), "Missing Region", TRUE, "Clean")</f>
        <v>Clean</v>
      </c>
    </row>
    <row r="219" spans="1:26">
      <c r="A219" t="s">
        <v>549</v>
      </c>
      <c r="B219" s="4">
        <v>45661</v>
      </c>
      <c r="C219" s="6">
        <v>45755</v>
      </c>
      <c r="D219" t="s">
        <v>2165</v>
      </c>
      <c r="E219" t="s">
        <v>80</v>
      </c>
      <c r="F219" t="s">
        <v>23</v>
      </c>
      <c r="G219" t="s">
        <v>36</v>
      </c>
      <c r="H219" t="s">
        <v>37</v>
      </c>
      <c r="I219" t="s">
        <v>38</v>
      </c>
      <c r="J219" t="s">
        <v>39</v>
      </c>
      <c r="K219" t="s">
        <v>134</v>
      </c>
      <c r="L219" t="s">
        <v>550</v>
      </c>
      <c r="M219" t="s">
        <v>30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91</v>
      </c>
      <c r="U219" t="s">
        <v>63</v>
      </c>
      <c r="V219">
        <f t="shared" si="13"/>
        <v>4595.76</v>
      </c>
      <c r="W219">
        <f t="shared" si="14"/>
        <v>1198.96</v>
      </c>
      <c r="X219">
        <f t="shared" si="15"/>
        <v>26.088394520166414</v>
      </c>
      <c r="Y219">
        <f t="shared" si="16"/>
        <v>94</v>
      </c>
      <c r="Z219" t="str" cm="1">
        <f t="array" ref="Z219">_xlfn.IFS(Y219&lt;0, "Invalid Date", ISBLANK(G219), "Missing Region", TRUE, "Clean")</f>
        <v>Clean</v>
      </c>
    </row>
    <row r="220" spans="1:26">
      <c r="A220" t="s">
        <v>551</v>
      </c>
      <c r="B220" s="4">
        <v>45714</v>
      </c>
      <c r="C220" s="6">
        <v>45715</v>
      </c>
      <c r="D220" t="s">
        <v>2166</v>
      </c>
      <c r="E220" t="s">
        <v>100</v>
      </c>
      <c r="F220" t="s">
        <v>81</v>
      </c>
      <c r="G220" t="s">
        <v>58</v>
      </c>
      <c r="H220" t="s">
        <v>151</v>
      </c>
      <c r="I220" t="s">
        <v>152</v>
      </c>
      <c r="J220" t="s">
        <v>39</v>
      </c>
      <c r="K220" t="s">
        <v>134</v>
      </c>
      <c r="L220" t="s">
        <v>552</v>
      </c>
      <c r="M220" t="s">
        <v>55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31</v>
      </c>
      <c r="U220" t="s">
        <v>32</v>
      </c>
      <c r="V220">
        <f t="shared" si="13"/>
        <v>1291.3999999999999</v>
      </c>
      <c r="W220">
        <f t="shared" si="14"/>
        <v>534.46999999999991</v>
      </c>
      <c r="X220">
        <f t="shared" si="15"/>
        <v>41.386866966083318</v>
      </c>
      <c r="Y220">
        <f t="shared" si="16"/>
        <v>1</v>
      </c>
      <c r="Z220" t="str" cm="1">
        <f t="array" ref="Z220">_xlfn.IFS(Y220&lt;0, "Invalid Date", ISBLANK(G220), "Missing Region", TRUE, "Clean")</f>
        <v>Clean</v>
      </c>
    </row>
    <row r="221" spans="1:26">
      <c r="A221" t="s">
        <v>553</v>
      </c>
      <c r="B221" s="4">
        <v>45461</v>
      </c>
      <c r="C221" s="6">
        <v>45462</v>
      </c>
      <c r="D221" t="s">
        <v>2167</v>
      </c>
      <c r="E221" t="s">
        <v>103</v>
      </c>
      <c r="F221" t="s">
        <v>23</v>
      </c>
      <c r="G221" t="s">
        <v>36</v>
      </c>
      <c r="H221" t="s">
        <v>124</v>
      </c>
      <c r="I221" t="s">
        <v>125</v>
      </c>
      <c r="J221" t="s">
        <v>68</v>
      </c>
      <c r="K221" t="s">
        <v>219</v>
      </c>
      <c r="L221" t="s">
        <v>554</v>
      </c>
      <c r="M221" t="s">
        <v>47</v>
      </c>
      <c r="N221">
        <v>2</v>
      </c>
      <c r="O221">
        <v>121.49</v>
      </c>
      <c r="P221" t="s">
        <v>555</v>
      </c>
      <c r="Q221">
        <v>242.98</v>
      </c>
      <c r="R221">
        <v>161.41999999999999</v>
      </c>
      <c r="S221">
        <v>81.56</v>
      </c>
      <c r="T221" t="s">
        <v>31</v>
      </c>
      <c r="U221" t="s">
        <v>32</v>
      </c>
      <c r="V221">
        <f t="shared" si="13"/>
        <v>36.447000000000003</v>
      </c>
      <c r="W221">
        <f t="shared" si="14"/>
        <v>-124.97299999999998</v>
      </c>
      <c r="X221">
        <f t="shared" si="15"/>
        <v>-342.88967541910165</v>
      </c>
      <c r="Y221">
        <f t="shared" si="16"/>
        <v>1</v>
      </c>
      <c r="Z221" t="str" cm="1">
        <f t="array" ref="Z221">_xlfn.IFS(Y221&lt;0, "Invalid Date", ISBLANK(G221), "Missing Region", TRUE, "Clean")</f>
        <v>Clean</v>
      </c>
    </row>
    <row r="222" spans="1:26">
      <c r="A222" t="s">
        <v>556</v>
      </c>
      <c r="B222" s="4">
        <v>45538</v>
      </c>
      <c r="C222" s="6">
        <v>45538</v>
      </c>
      <c r="D222" t="s">
        <v>2168</v>
      </c>
      <c r="E222" t="s">
        <v>114</v>
      </c>
      <c r="F222" t="s">
        <v>23</v>
      </c>
      <c r="G222" t="s">
        <v>50</v>
      </c>
      <c r="H222" t="s">
        <v>155</v>
      </c>
      <c r="I222" t="s">
        <v>156</v>
      </c>
      <c r="J222" t="s">
        <v>27</v>
      </c>
      <c r="K222" t="s">
        <v>108</v>
      </c>
      <c r="L222" t="s">
        <v>557</v>
      </c>
      <c r="M222" t="s">
        <v>47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91</v>
      </c>
      <c r="U222" t="s">
        <v>63</v>
      </c>
      <c r="V222">
        <f t="shared" si="13"/>
        <v>9554.5779999999995</v>
      </c>
      <c r="W222">
        <f t="shared" si="14"/>
        <v>3486.1079999999993</v>
      </c>
      <c r="X222">
        <f t="shared" si="15"/>
        <v>36.486258210462033</v>
      </c>
      <c r="Y222">
        <f t="shared" si="16"/>
        <v>0</v>
      </c>
      <c r="Z222" t="str" cm="1">
        <f t="array" ref="Z222">_xlfn.IFS(Y222&lt;0, "Invalid Date", ISBLANK(G222), "Missing Region", TRUE, "Clean")</f>
        <v>Clean</v>
      </c>
    </row>
    <row r="223" spans="1:26">
      <c r="A223" t="s">
        <v>558</v>
      </c>
      <c r="B223" s="4">
        <v>45992</v>
      </c>
      <c r="C223" s="6">
        <v>45672</v>
      </c>
      <c r="D223" t="s">
        <v>2169</v>
      </c>
      <c r="E223" t="s">
        <v>34</v>
      </c>
      <c r="F223" t="s">
        <v>81</v>
      </c>
      <c r="G223" t="s">
        <v>50</v>
      </c>
      <c r="H223" t="s">
        <v>147</v>
      </c>
      <c r="I223" t="s">
        <v>148</v>
      </c>
      <c r="J223" t="s">
        <v>39</v>
      </c>
      <c r="K223" t="s">
        <v>61</v>
      </c>
      <c r="L223" t="s">
        <v>559</v>
      </c>
      <c r="M223" t="s">
        <v>42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31</v>
      </c>
      <c r="U223" t="s">
        <v>32</v>
      </c>
      <c r="V223">
        <f t="shared" si="13"/>
        <v>4900.8959999999997</v>
      </c>
      <c r="W223">
        <f t="shared" si="14"/>
        <v>1348.2059999999997</v>
      </c>
      <c r="X223">
        <f t="shared" si="15"/>
        <v>27.509377877024932</v>
      </c>
      <c r="Y223">
        <f t="shared" si="16"/>
        <v>-320</v>
      </c>
      <c r="Z223" t="str" cm="1">
        <f t="array" ref="Z223">_xlfn.IFS(Y223&lt;0, "Invalid Date", ISBLANK(G223), "Missing Region", TRUE, "Clean")</f>
        <v>Invalid Date</v>
      </c>
    </row>
    <row r="224" spans="1:26">
      <c r="A224" t="s">
        <v>560</v>
      </c>
      <c r="B224" s="4">
        <v>45776</v>
      </c>
      <c r="C224" s="6">
        <v>45693</v>
      </c>
      <c r="D224" t="s">
        <v>2170</v>
      </c>
      <c r="E224" t="s">
        <v>65</v>
      </c>
      <c r="F224" t="s">
        <v>35</v>
      </c>
      <c r="G224" t="s">
        <v>58</v>
      </c>
      <c r="H224" t="s">
        <v>159</v>
      </c>
      <c r="I224" t="s">
        <v>160</v>
      </c>
      <c r="J224" t="s">
        <v>27</v>
      </c>
      <c r="K224" t="s">
        <v>108</v>
      </c>
      <c r="L224" t="s">
        <v>561</v>
      </c>
      <c r="M224" t="s">
        <v>47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31</v>
      </c>
      <c r="U224" t="s">
        <v>32</v>
      </c>
      <c r="V224">
        <f t="shared" si="13"/>
        <v>25848.54</v>
      </c>
      <c r="W224">
        <f t="shared" si="14"/>
        <v>8119.4500000000007</v>
      </c>
      <c r="X224">
        <f t="shared" si="15"/>
        <v>31.411638723115505</v>
      </c>
      <c r="Y224">
        <f t="shared" si="16"/>
        <v>-83</v>
      </c>
      <c r="Z224" t="str" cm="1">
        <f t="array" ref="Z224">_xlfn.IFS(Y224&lt;0, "Invalid Date", ISBLANK(G224), "Missing Region", TRUE, "Clean")</f>
        <v>Invalid Date</v>
      </c>
    </row>
    <row r="225" spans="1:26">
      <c r="A225" t="s">
        <v>562</v>
      </c>
      <c r="B225" s="4">
        <v>45707</v>
      </c>
      <c r="C225" s="6">
        <v>45714</v>
      </c>
      <c r="D225" t="s">
        <v>2171</v>
      </c>
      <c r="E225" t="s">
        <v>34</v>
      </c>
      <c r="F225" t="s">
        <v>81</v>
      </c>
      <c r="G225" t="s">
        <v>58</v>
      </c>
      <c r="H225" t="s">
        <v>59</v>
      </c>
      <c r="I225" t="s">
        <v>60</v>
      </c>
      <c r="J225" t="s">
        <v>39</v>
      </c>
      <c r="K225" t="s">
        <v>53</v>
      </c>
      <c r="L225" t="s">
        <v>563</v>
      </c>
      <c r="M225" t="s">
        <v>47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98</v>
      </c>
      <c r="U225" t="s">
        <v>92</v>
      </c>
      <c r="V225">
        <f t="shared" si="13"/>
        <v>1176.72</v>
      </c>
      <c r="W225">
        <f t="shared" si="14"/>
        <v>522.39</v>
      </c>
      <c r="X225">
        <f t="shared" si="15"/>
        <v>44.393738527432177</v>
      </c>
      <c r="Y225">
        <f t="shared" si="16"/>
        <v>7</v>
      </c>
      <c r="Z225" t="str" cm="1">
        <f t="array" ref="Z225">_xlfn.IFS(Y225&lt;0, "Invalid Date", ISBLANK(G225), "Missing Region", TRUE, "Clean")</f>
        <v>Clean</v>
      </c>
    </row>
    <row r="226" spans="1:26">
      <c r="A226" t="s">
        <v>564</v>
      </c>
      <c r="B226" s="4">
        <v>45932</v>
      </c>
      <c r="C226" s="6">
        <v>45879</v>
      </c>
      <c r="D226" t="s">
        <v>2172</v>
      </c>
      <c r="E226" t="s">
        <v>44</v>
      </c>
      <c r="F226" t="s">
        <v>35</v>
      </c>
      <c r="G226" t="s">
        <v>24</v>
      </c>
      <c r="H226" t="s">
        <v>106</v>
      </c>
      <c r="I226" t="s">
        <v>107</v>
      </c>
      <c r="J226" t="s">
        <v>39</v>
      </c>
      <c r="K226" t="s">
        <v>53</v>
      </c>
      <c r="L226" t="s">
        <v>565</v>
      </c>
      <c r="M226" t="s">
        <v>55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31</v>
      </c>
      <c r="U226" t="s">
        <v>63</v>
      </c>
      <c r="V226">
        <f t="shared" si="13"/>
        <v>11833.92</v>
      </c>
      <c r="W226">
        <f t="shared" si="14"/>
        <v>5151</v>
      </c>
      <c r="X226">
        <f t="shared" si="15"/>
        <v>43.527419485681833</v>
      </c>
      <c r="Y226">
        <f t="shared" si="16"/>
        <v>-53</v>
      </c>
      <c r="Z226" t="str" cm="1">
        <f t="array" ref="Z226">_xlfn.IFS(Y226&lt;0, "Invalid Date", ISBLANK(G226), "Missing Region", TRUE, "Clean")</f>
        <v>Invalid Date</v>
      </c>
    </row>
    <row r="227" spans="1:26">
      <c r="A227" t="s">
        <v>566</v>
      </c>
      <c r="B227" s="4">
        <v>45331</v>
      </c>
      <c r="C227" s="6">
        <v>45574</v>
      </c>
      <c r="D227" t="s">
        <v>2173</v>
      </c>
      <c r="E227" t="s">
        <v>34</v>
      </c>
      <c r="F227" t="s">
        <v>81</v>
      </c>
      <c r="G227" t="s">
        <v>58</v>
      </c>
      <c r="H227" t="s">
        <v>159</v>
      </c>
      <c r="I227" t="s">
        <v>160</v>
      </c>
      <c r="J227" t="s">
        <v>68</v>
      </c>
      <c r="K227" t="s">
        <v>144</v>
      </c>
      <c r="L227" t="s">
        <v>567</v>
      </c>
      <c r="M227" t="s">
        <v>55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31</v>
      </c>
      <c r="U227" t="s">
        <v>32</v>
      </c>
      <c r="V227">
        <f t="shared" si="13"/>
        <v>5265.5969999999998</v>
      </c>
      <c r="W227">
        <f t="shared" si="14"/>
        <v>972.48700000000008</v>
      </c>
      <c r="X227">
        <f t="shared" si="15"/>
        <v>18.468694053114966</v>
      </c>
      <c r="Y227">
        <f t="shared" si="16"/>
        <v>243</v>
      </c>
      <c r="Z227" t="str" cm="1">
        <f t="array" ref="Z227">_xlfn.IFS(Y227&lt;0, "Invalid Date", ISBLANK(G227), "Missing Region", TRUE, "Clean")</f>
        <v>Clean</v>
      </c>
    </row>
    <row r="228" spans="1:26">
      <c r="A228" t="s">
        <v>568</v>
      </c>
      <c r="B228" s="4">
        <v>45934</v>
      </c>
      <c r="C228" s="6">
        <v>45762</v>
      </c>
      <c r="D228" t="s">
        <v>2174</v>
      </c>
      <c r="E228" t="s">
        <v>137</v>
      </c>
      <c r="F228" t="s">
        <v>85</v>
      </c>
      <c r="G228" t="s">
        <v>2806</v>
      </c>
      <c r="H228" t="s">
        <v>155</v>
      </c>
      <c r="I228" t="s">
        <v>156</v>
      </c>
      <c r="J228" t="s">
        <v>68</v>
      </c>
      <c r="K228" t="s">
        <v>73</v>
      </c>
      <c r="L228" t="s">
        <v>569</v>
      </c>
      <c r="M228" t="s">
        <v>42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31</v>
      </c>
      <c r="U228" t="s">
        <v>32</v>
      </c>
      <c r="V228">
        <f t="shared" si="13"/>
        <v>1987.443</v>
      </c>
      <c r="W228">
        <f t="shared" si="14"/>
        <v>877.21299999999997</v>
      </c>
      <c r="X228">
        <f t="shared" si="15"/>
        <v>44.137768982556985</v>
      </c>
      <c r="Y228">
        <f t="shared" si="16"/>
        <v>-172</v>
      </c>
      <c r="Z228" t="str" cm="1">
        <f t="array" ref="Z228">_xlfn.IFS(Y228&lt;0, "Invalid Date", ISBLANK(G228), "Missing Region", TRUE, "Clean")</f>
        <v>Invalid Date</v>
      </c>
    </row>
    <row r="229" spans="1:26">
      <c r="A229" t="s">
        <v>570</v>
      </c>
      <c r="B229" s="4">
        <v>45419</v>
      </c>
      <c r="C229" s="6">
        <v>45633</v>
      </c>
      <c r="D229" t="s">
        <v>2175</v>
      </c>
      <c r="E229" t="s">
        <v>57</v>
      </c>
      <c r="F229" t="s">
        <v>35</v>
      </c>
      <c r="G229" t="s">
        <v>58</v>
      </c>
      <c r="H229" t="s">
        <v>159</v>
      </c>
      <c r="I229" t="s">
        <v>160</v>
      </c>
      <c r="J229" t="s">
        <v>27</v>
      </c>
      <c r="K229" t="s">
        <v>130</v>
      </c>
      <c r="L229" t="s">
        <v>571</v>
      </c>
      <c r="M229" t="s">
        <v>47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31</v>
      </c>
      <c r="U229" t="s">
        <v>32</v>
      </c>
      <c r="V229">
        <f t="shared" si="13"/>
        <v>1473.2625</v>
      </c>
      <c r="W229">
        <f t="shared" si="14"/>
        <v>573.40250000000003</v>
      </c>
      <c r="X229">
        <f t="shared" si="15"/>
        <v>38.920592901808064</v>
      </c>
      <c r="Y229">
        <f t="shared" si="16"/>
        <v>214</v>
      </c>
      <c r="Z229" t="str" cm="1">
        <f t="array" ref="Z229">_xlfn.IFS(Y229&lt;0, "Invalid Date", ISBLANK(G229), "Missing Region", TRUE, "Clean")</f>
        <v>Clean</v>
      </c>
    </row>
    <row r="230" spans="1:26">
      <c r="A230" t="s">
        <v>572</v>
      </c>
      <c r="B230" s="4">
        <v>45406</v>
      </c>
      <c r="C230" s="6">
        <v>45410</v>
      </c>
      <c r="D230" t="s">
        <v>2176</v>
      </c>
      <c r="E230" t="s">
        <v>22</v>
      </c>
      <c r="F230" t="s">
        <v>35</v>
      </c>
      <c r="G230" t="s">
        <v>50</v>
      </c>
      <c r="H230" t="s">
        <v>51</v>
      </c>
      <c r="I230" t="s">
        <v>52</v>
      </c>
      <c r="J230" t="s">
        <v>27</v>
      </c>
      <c r="K230" t="s">
        <v>82</v>
      </c>
      <c r="L230" t="s">
        <v>573</v>
      </c>
      <c r="M230" t="s">
        <v>30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31</v>
      </c>
      <c r="U230" t="s">
        <v>32</v>
      </c>
      <c r="V230">
        <f t="shared" si="13"/>
        <v>2715.2145</v>
      </c>
      <c r="W230">
        <f t="shared" si="14"/>
        <v>1163.6645000000001</v>
      </c>
      <c r="X230">
        <f t="shared" si="15"/>
        <v>42.857184948003194</v>
      </c>
      <c r="Y230">
        <f t="shared" si="16"/>
        <v>4</v>
      </c>
      <c r="Z230" t="str" cm="1">
        <f t="array" ref="Z230">_xlfn.IFS(Y230&lt;0, "Invalid Date", ISBLANK(G230), "Missing Region", TRUE, "Clean")</f>
        <v>Clean</v>
      </c>
    </row>
    <row r="231" spans="1:26">
      <c r="A231" t="s">
        <v>574</v>
      </c>
      <c r="B231" s="4">
        <v>45836</v>
      </c>
      <c r="C231" s="6">
        <v>45842</v>
      </c>
      <c r="D231" t="s">
        <v>2177</v>
      </c>
      <c r="E231" t="s">
        <v>121</v>
      </c>
      <c r="F231" t="s">
        <v>23</v>
      </c>
      <c r="G231" t="s">
        <v>50</v>
      </c>
      <c r="H231" t="s">
        <v>51</v>
      </c>
      <c r="I231" t="s">
        <v>52</v>
      </c>
      <c r="J231" t="s">
        <v>39</v>
      </c>
      <c r="K231" t="s">
        <v>134</v>
      </c>
      <c r="L231" t="s">
        <v>575</v>
      </c>
      <c r="M231" t="s">
        <v>47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91</v>
      </c>
      <c r="U231" t="s">
        <v>92</v>
      </c>
      <c r="V231">
        <f t="shared" si="13"/>
        <v>8658.69</v>
      </c>
      <c r="W231">
        <f t="shared" si="14"/>
        <v>3122.7500000000009</v>
      </c>
      <c r="X231">
        <f t="shared" si="15"/>
        <v>36.064924370776652</v>
      </c>
      <c r="Y231">
        <f t="shared" si="16"/>
        <v>6</v>
      </c>
      <c r="Z231" t="str" cm="1">
        <f t="array" ref="Z231">_xlfn.IFS(Y231&lt;0, "Invalid Date", ISBLANK(G231), "Missing Region", TRUE, "Clean")</f>
        <v>Clean</v>
      </c>
    </row>
    <row r="232" spans="1:26">
      <c r="A232" t="s">
        <v>576</v>
      </c>
      <c r="B232" s="4">
        <v>45440</v>
      </c>
      <c r="C232" s="6">
        <v>45357</v>
      </c>
      <c r="D232" t="s">
        <v>2178</v>
      </c>
      <c r="E232" t="s">
        <v>72</v>
      </c>
      <c r="F232" t="s">
        <v>35</v>
      </c>
      <c r="G232" t="s">
        <v>24</v>
      </c>
      <c r="H232" t="s">
        <v>25</v>
      </c>
      <c r="I232" t="s">
        <v>26</v>
      </c>
      <c r="J232" t="s">
        <v>27</v>
      </c>
      <c r="K232" t="s">
        <v>28</v>
      </c>
      <c r="L232" t="s">
        <v>577</v>
      </c>
      <c r="M232" t="s">
        <v>55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31</v>
      </c>
      <c r="U232" t="s">
        <v>32</v>
      </c>
      <c r="V232">
        <f t="shared" si="13"/>
        <v>11090.376</v>
      </c>
      <c r="W232">
        <f t="shared" si="14"/>
        <v>2249.4259999999995</v>
      </c>
      <c r="X232">
        <f t="shared" si="15"/>
        <v>20.282684734944958</v>
      </c>
      <c r="Y232">
        <f t="shared" si="16"/>
        <v>-83</v>
      </c>
      <c r="Z232" t="str" cm="1">
        <f t="array" ref="Z232">_xlfn.IFS(Y232&lt;0, "Invalid Date", ISBLANK(G232), "Missing Region", TRUE, "Clean")</f>
        <v>Invalid Date</v>
      </c>
    </row>
    <row r="233" spans="1:26">
      <c r="A233" t="s">
        <v>578</v>
      </c>
      <c r="B233" s="4">
        <v>45327</v>
      </c>
      <c r="C233" s="6">
        <v>45414</v>
      </c>
      <c r="D233" t="s">
        <v>2179</v>
      </c>
      <c r="E233" t="s">
        <v>57</v>
      </c>
      <c r="F233" t="s">
        <v>81</v>
      </c>
      <c r="G233" t="s">
        <v>24</v>
      </c>
      <c r="H233" t="s">
        <v>25</v>
      </c>
      <c r="I233" t="s">
        <v>26</v>
      </c>
      <c r="J233" t="s">
        <v>579</v>
      </c>
      <c r="K233" t="s">
        <v>82</v>
      </c>
      <c r="L233" t="s">
        <v>580</v>
      </c>
      <c r="M233" t="s">
        <v>47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91</v>
      </c>
      <c r="U233" t="s">
        <v>63</v>
      </c>
      <c r="V233">
        <f t="shared" si="13"/>
        <v>11462.744999999999</v>
      </c>
      <c r="W233">
        <f t="shared" si="14"/>
        <v>4299.204999999999</v>
      </c>
      <c r="X233">
        <f t="shared" si="15"/>
        <v>37.505894094302889</v>
      </c>
      <c r="Y233">
        <f t="shared" si="16"/>
        <v>87</v>
      </c>
      <c r="Z233" t="str" cm="1">
        <f t="array" ref="Z233">_xlfn.IFS(Y233&lt;0, "Invalid Date", ISBLANK(G233), "Missing Region", TRUE, "Clean")</f>
        <v>Clean</v>
      </c>
    </row>
    <row r="234" spans="1:26">
      <c r="A234" t="s">
        <v>581</v>
      </c>
      <c r="B234" s="4">
        <v>45753</v>
      </c>
      <c r="C234" s="6">
        <v>45936</v>
      </c>
      <c r="D234" t="s">
        <v>2180</v>
      </c>
      <c r="E234" t="s">
        <v>103</v>
      </c>
      <c r="F234" t="s">
        <v>23</v>
      </c>
      <c r="G234" t="s">
        <v>50</v>
      </c>
      <c r="H234" t="s">
        <v>76</v>
      </c>
      <c r="I234" t="s">
        <v>77</v>
      </c>
      <c r="J234" t="s">
        <v>68</v>
      </c>
      <c r="K234" t="s">
        <v>144</v>
      </c>
      <c r="L234" t="s">
        <v>582</v>
      </c>
      <c r="M234" t="s">
        <v>55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31</v>
      </c>
      <c r="U234" t="s">
        <v>32</v>
      </c>
      <c r="V234">
        <f t="shared" si="13"/>
        <v>670.11</v>
      </c>
      <c r="W234">
        <f t="shared" si="14"/>
        <v>110.53999999999996</v>
      </c>
      <c r="X234">
        <f t="shared" si="15"/>
        <v>16.495799197146731</v>
      </c>
      <c r="Y234">
        <f t="shared" si="16"/>
        <v>183</v>
      </c>
      <c r="Z234" t="str" cm="1">
        <f t="array" ref="Z234">_xlfn.IFS(Y234&lt;0, "Invalid Date", ISBLANK(G234), "Missing Region", TRUE, "Clean")</f>
        <v>Clean</v>
      </c>
    </row>
    <row r="235" spans="1:26">
      <c r="A235" t="s">
        <v>583</v>
      </c>
      <c r="B235" s="4">
        <v>45579</v>
      </c>
      <c r="C235" s="6">
        <v>45579</v>
      </c>
      <c r="D235" t="s">
        <v>2181</v>
      </c>
      <c r="E235" t="s">
        <v>65</v>
      </c>
      <c r="F235" t="s">
        <v>81</v>
      </c>
      <c r="G235" t="s">
        <v>50</v>
      </c>
      <c r="H235" t="s">
        <v>147</v>
      </c>
      <c r="I235" t="s">
        <v>148</v>
      </c>
      <c r="J235" t="s">
        <v>39</v>
      </c>
      <c r="K235" t="s">
        <v>134</v>
      </c>
      <c r="L235" t="s">
        <v>584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31</v>
      </c>
      <c r="U235" t="s">
        <v>32</v>
      </c>
      <c r="V235">
        <f t="shared" si="13"/>
        <v>31236.720000000001</v>
      </c>
      <c r="W235">
        <f t="shared" si="14"/>
        <v>4859.0200000000004</v>
      </c>
      <c r="X235">
        <f t="shared" si="15"/>
        <v>15.555474454424154</v>
      </c>
      <c r="Y235">
        <f t="shared" si="16"/>
        <v>0</v>
      </c>
      <c r="Z235" t="str" cm="1">
        <f t="array" ref="Z235">_xlfn.IFS(Y235&lt;0, "Invalid Date", ISBLANK(G235), "Missing Region", TRUE, "Clean")</f>
        <v>Clean</v>
      </c>
    </row>
    <row r="236" spans="1:26">
      <c r="A236" t="s">
        <v>585</v>
      </c>
      <c r="B236" s="4">
        <v>45537</v>
      </c>
      <c r="C236" s="6">
        <v>45360</v>
      </c>
      <c r="D236" t="s">
        <v>2182</v>
      </c>
      <c r="E236" t="s">
        <v>212</v>
      </c>
      <c r="F236" t="s">
        <v>85</v>
      </c>
      <c r="G236" t="s">
        <v>24</v>
      </c>
      <c r="H236" t="s">
        <v>270</v>
      </c>
      <c r="I236" t="s">
        <v>271</v>
      </c>
      <c r="J236" t="s">
        <v>39</v>
      </c>
      <c r="K236" t="s">
        <v>53</v>
      </c>
      <c r="L236" t="s">
        <v>586</v>
      </c>
      <c r="M236" t="s">
        <v>47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31</v>
      </c>
      <c r="U236" t="s">
        <v>32</v>
      </c>
      <c r="V236">
        <f t="shared" si="13"/>
        <v>10964.241</v>
      </c>
      <c r="W236">
        <f t="shared" si="14"/>
        <v>1701.7710000000006</v>
      </c>
      <c r="X236">
        <f t="shared" si="15"/>
        <v>15.521101734265057</v>
      </c>
      <c r="Y236">
        <f t="shared" si="16"/>
        <v>-177</v>
      </c>
      <c r="Z236" t="str" cm="1">
        <f t="array" ref="Z236">_xlfn.IFS(Y236&lt;0, "Invalid Date", ISBLANK(G236), "Missing Region", TRUE, "Clean")</f>
        <v>Invalid Date</v>
      </c>
    </row>
    <row r="237" spans="1:26">
      <c r="A237" t="s">
        <v>587</v>
      </c>
      <c r="B237" s="4">
        <v>45598</v>
      </c>
      <c r="C237" s="6">
        <v>45599</v>
      </c>
      <c r="D237" t="s">
        <v>2183</v>
      </c>
      <c r="E237" t="s">
        <v>103</v>
      </c>
      <c r="F237" t="s">
        <v>35</v>
      </c>
      <c r="G237" t="s">
        <v>58</v>
      </c>
      <c r="H237" t="s">
        <v>25</v>
      </c>
      <c r="I237" t="s">
        <v>96</v>
      </c>
      <c r="J237" t="s">
        <v>27</v>
      </c>
      <c r="K237" t="s">
        <v>108</v>
      </c>
      <c r="L237" t="s">
        <v>588</v>
      </c>
      <c r="M237" t="s">
        <v>55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31</v>
      </c>
      <c r="U237" t="s">
        <v>32</v>
      </c>
      <c r="V237">
        <f t="shared" si="13"/>
        <v>15226.352999999999</v>
      </c>
      <c r="W237">
        <f t="shared" si="14"/>
        <v>4081.0729999999985</v>
      </c>
      <c r="X237">
        <f t="shared" si="15"/>
        <v>26.802695300706603</v>
      </c>
      <c r="Y237">
        <f t="shared" si="16"/>
        <v>1</v>
      </c>
      <c r="Z237" t="str" cm="1">
        <f t="array" ref="Z237">_xlfn.IFS(Y237&lt;0, "Invalid Date", ISBLANK(G237), "Missing Region", TRUE, "Clean")</f>
        <v>Clean</v>
      </c>
    </row>
    <row r="238" spans="1:26">
      <c r="A238" t="s">
        <v>589</v>
      </c>
      <c r="B238" s="4">
        <v>45579</v>
      </c>
      <c r="C238" s="6">
        <v>45586</v>
      </c>
      <c r="D238" t="s">
        <v>2184</v>
      </c>
      <c r="E238" t="s">
        <v>100</v>
      </c>
      <c r="F238" t="s">
        <v>81</v>
      </c>
      <c r="G238" t="s">
        <v>24</v>
      </c>
      <c r="H238" t="s">
        <v>117</v>
      </c>
      <c r="I238" t="s">
        <v>118</v>
      </c>
      <c r="J238" t="s">
        <v>39</v>
      </c>
      <c r="K238" t="s">
        <v>134</v>
      </c>
      <c r="L238" t="s">
        <v>590</v>
      </c>
      <c r="M238" t="s">
        <v>47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31</v>
      </c>
      <c r="U238" t="s">
        <v>32</v>
      </c>
      <c r="V238">
        <f t="shared" si="13"/>
        <v>24376.68</v>
      </c>
      <c r="W238">
        <f t="shared" si="14"/>
        <v>5843.2900000000009</v>
      </c>
      <c r="X238">
        <f t="shared" si="15"/>
        <v>23.970819652224996</v>
      </c>
      <c r="Y238">
        <f t="shared" si="16"/>
        <v>7</v>
      </c>
      <c r="Z238" t="str" cm="1">
        <f t="array" ref="Z238">_xlfn.IFS(Y238&lt;0, "Invalid Date", ISBLANK(G238), "Missing Region", TRUE, "Clean")</f>
        <v>Clean</v>
      </c>
    </row>
    <row r="239" spans="1:26">
      <c r="A239" t="s">
        <v>591</v>
      </c>
      <c r="B239" s="4">
        <v>45531</v>
      </c>
      <c r="C239" s="6">
        <v>45531</v>
      </c>
      <c r="D239" t="s">
        <v>2185</v>
      </c>
      <c r="E239" t="s">
        <v>34</v>
      </c>
      <c r="F239" t="s">
        <v>23</v>
      </c>
      <c r="G239" t="s">
        <v>24</v>
      </c>
      <c r="H239" t="s">
        <v>192</v>
      </c>
      <c r="I239" t="s">
        <v>193</v>
      </c>
      <c r="J239" t="s">
        <v>68</v>
      </c>
      <c r="K239" t="s">
        <v>73</v>
      </c>
      <c r="L239" t="s">
        <v>592</v>
      </c>
      <c r="M239" t="s">
        <v>55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31</v>
      </c>
      <c r="U239" t="s">
        <v>32</v>
      </c>
      <c r="V239">
        <f t="shared" si="13"/>
        <v>20972.7</v>
      </c>
      <c r="W239">
        <f t="shared" si="14"/>
        <v>7467.8200000000015</v>
      </c>
      <c r="X239">
        <f t="shared" si="15"/>
        <v>35.607337157352184</v>
      </c>
      <c r="Y239">
        <f t="shared" si="16"/>
        <v>0</v>
      </c>
      <c r="Z239" t="str" cm="1">
        <f t="array" ref="Z239">_xlfn.IFS(Y239&lt;0, "Invalid Date", ISBLANK(G239), "Missing Region", TRUE, "Clean")</f>
        <v>Clean</v>
      </c>
    </row>
    <row r="240" spans="1:26">
      <c r="A240" t="s">
        <v>593</v>
      </c>
      <c r="B240" s="4">
        <v>45303</v>
      </c>
      <c r="C240" s="6">
        <v>45308</v>
      </c>
      <c r="D240" t="s">
        <v>2186</v>
      </c>
      <c r="E240" t="s">
        <v>49</v>
      </c>
      <c r="F240" t="s">
        <v>23</v>
      </c>
      <c r="G240" t="s">
        <v>50</v>
      </c>
      <c r="H240" t="s">
        <v>76</v>
      </c>
      <c r="I240" t="s">
        <v>77</v>
      </c>
      <c r="J240" t="s">
        <v>27</v>
      </c>
      <c r="K240" t="s">
        <v>108</v>
      </c>
      <c r="L240" t="s">
        <v>594</v>
      </c>
      <c r="M240" t="s">
        <v>47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31</v>
      </c>
      <c r="U240" t="s">
        <v>32</v>
      </c>
      <c r="V240">
        <f t="shared" si="13"/>
        <v>12615.907499999999</v>
      </c>
      <c r="W240">
        <f t="shared" si="14"/>
        <v>-6222.8425000000007</v>
      </c>
      <c r="X240">
        <f t="shared" si="15"/>
        <v>-49.325365614800212</v>
      </c>
      <c r="Y240">
        <f t="shared" si="16"/>
        <v>5</v>
      </c>
      <c r="Z240" t="str" cm="1">
        <f t="array" ref="Z240">_xlfn.IFS(Y240&lt;0, "Invalid Date", ISBLANK(G240), "Missing Region", TRUE, "Clean")</f>
        <v>Clean</v>
      </c>
    </row>
    <row r="241" spans="1:26">
      <c r="A241" t="s">
        <v>595</v>
      </c>
      <c r="B241" s="4">
        <v>45556</v>
      </c>
      <c r="C241" s="6">
        <v>45556</v>
      </c>
      <c r="D241" t="s">
        <v>2187</v>
      </c>
      <c r="E241" t="s">
        <v>212</v>
      </c>
      <c r="F241" t="s">
        <v>81</v>
      </c>
      <c r="G241" t="s">
        <v>50</v>
      </c>
      <c r="H241" t="s">
        <v>147</v>
      </c>
      <c r="I241" t="s">
        <v>148</v>
      </c>
      <c r="J241" t="s">
        <v>68</v>
      </c>
      <c r="K241" t="s">
        <v>219</v>
      </c>
      <c r="L241" t="s">
        <v>596</v>
      </c>
      <c r="M241" t="s">
        <v>47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31</v>
      </c>
      <c r="U241" t="s">
        <v>32</v>
      </c>
      <c r="V241">
        <f t="shared" si="13"/>
        <v>3136.096</v>
      </c>
      <c r="W241">
        <f t="shared" si="14"/>
        <v>856.60600000000022</v>
      </c>
      <c r="X241">
        <f t="shared" si="15"/>
        <v>27.314406191647201</v>
      </c>
      <c r="Y241">
        <f t="shared" si="16"/>
        <v>0</v>
      </c>
      <c r="Z241" t="str" cm="1">
        <f t="array" ref="Z241">_xlfn.IFS(Y241&lt;0, "Invalid Date", ISBLANK(G241), "Missing Region", TRUE, "Clean")</f>
        <v>Clean</v>
      </c>
    </row>
    <row r="242" spans="1:26">
      <c r="A242" t="s">
        <v>597</v>
      </c>
      <c r="B242" s="4">
        <v>45643</v>
      </c>
      <c r="C242" s="6">
        <v>45649</v>
      </c>
      <c r="D242" t="s">
        <v>2188</v>
      </c>
      <c r="E242" t="s">
        <v>111</v>
      </c>
      <c r="F242" t="s">
        <v>81</v>
      </c>
      <c r="G242" t="s">
        <v>50</v>
      </c>
      <c r="H242" t="s">
        <v>51</v>
      </c>
      <c r="I242" t="s">
        <v>52</v>
      </c>
      <c r="J242" t="s">
        <v>27</v>
      </c>
      <c r="K242" t="s">
        <v>130</v>
      </c>
      <c r="L242" t="s">
        <v>598</v>
      </c>
      <c r="M242" t="s">
        <v>47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31</v>
      </c>
      <c r="U242" t="s">
        <v>32</v>
      </c>
      <c r="V242">
        <f t="shared" si="13"/>
        <v>20835.899999999998</v>
      </c>
      <c r="W242">
        <f t="shared" si="14"/>
        <v>6907.7099999999973</v>
      </c>
      <c r="X242">
        <f t="shared" si="15"/>
        <v>33.152923559817424</v>
      </c>
      <c r="Y242">
        <f t="shared" si="16"/>
        <v>6</v>
      </c>
      <c r="Z242" t="str" cm="1">
        <f t="array" ref="Z242">_xlfn.IFS(Y242&lt;0, "Invalid Date", ISBLANK(G242), "Missing Region", TRUE, "Clean")</f>
        <v>Clean</v>
      </c>
    </row>
    <row r="243" spans="1:26">
      <c r="A243" t="s">
        <v>599</v>
      </c>
      <c r="B243" s="4">
        <v>45844</v>
      </c>
      <c r="C243" s="6">
        <v>45815</v>
      </c>
      <c r="D243" t="s">
        <v>2189</v>
      </c>
      <c r="E243" t="s">
        <v>114</v>
      </c>
      <c r="F243" t="s">
        <v>81</v>
      </c>
      <c r="G243" t="s">
        <v>24</v>
      </c>
      <c r="H243" t="s">
        <v>192</v>
      </c>
      <c r="I243" t="s">
        <v>193</v>
      </c>
      <c r="J243" t="s">
        <v>27</v>
      </c>
      <c r="K243" t="s">
        <v>108</v>
      </c>
      <c r="L243" t="s">
        <v>600</v>
      </c>
      <c r="M243" t="s">
        <v>55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98</v>
      </c>
      <c r="U243" t="s">
        <v>92</v>
      </c>
      <c r="V243">
        <f t="shared" si="13"/>
        <v>1212.9000000000001</v>
      </c>
      <c r="W243">
        <f t="shared" si="14"/>
        <v>522.38000000000011</v>
      </c>
      <c r="X243">
        <f t="shared" si="15"/>
        <v>43.068678374144618</v>
      </c>
      <c r="Y243">
        <f t="shared" si="16"/>
        <v>-29</v>
      </c>
      <c r="Z243" t="str" cm="1">
        <f t="array" ref="Z243">_xlfn.IFS(Y243&lt;0, "Invalid Date", ISBLANK(G243), "Missing Region", TRUE, "Clean")</f>
        <v>Invalid Date</v>
      </c>
    </row>
    <row r="244" spans="1:26">
      <c r="A244" t="s">
        <v>601</v>
      </c>
      <c r="B244" s="4">
        <v>45840</v>
      </c>
      <c r="C244" s="6">
        <v>45840</v>
      </c>
      <c r="D244" t="s">
        <v>2190</v>
      </c>
      <c r="E244" t="s">
        <v>49</v>
      </c>
      <c r="F244" t="s">
        <v>23</v>
      </c>
      <c r="G244" t="s">
        <v>24</v>
      </c>
      <c r="H244" t="s">
        <v>117</v>
      </c>
      <c r="I244" t="s">
        <v>118</v>
      </c>
      <c r="J244" t="s">
        <v>27</v>
      </c>
      <c r="K244" t="s">
        <v>45</v>
      </c>
      <c r="L244" t="s">
        <v>602</v>
      </c>
      <c r="M244" t="s">
        <v>30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31</v>
      </c>
      <c r="U244" t="s">
        <v>32</v>
      </c>
      <c r="V244">
        <f t="shared" si="13"/>
        <v>5697.8339999999998</v>
      </c>
      <c r="W244">
        <f t="shared" si="14"/>
        <v>1446.3339999999998</v>
      </c>
      <c r="X244">
        <f t="shared" si="15"/>
        <v>25.38392659386005</v>
      </c>
      <c r="Y244">
        <f t="shared" si="16"/>
        <v>0</v>
      </c>
      <c r="Z244" t="str" cm="1">
        <f t="array" ref="Z244">_xlfn.IFS(Y244&lt;0, "Invalid Date", ISBLANK(G244), "Missing Region", TRUE, "Clean")</f>
        <v>Clean</v>
      </c>
    </row>
    <row r="245" spans="1:26">
      <c r="A245" t="s">
        <v>603</v>
      </c>
      <c r="B245" s="4">
        <v>45867</v>
      </c>
      <c r="C245" s="6">
        <v>45696</v>
      </c>
      <c r="D245" t="s">
        <v>2191</v>
      </c>
      <c r="E245" t="s">
        <v>114</v>
      </c>
      <c r="F245" t="s">
        <v>35</v>
      </c>
      <c r="G245" t="s">
        <v>2806</v>
      </c>
      <c r="H245" t="s">
        <v>66</v>
      </c>
      <c r="I245" t="s">
        <v>67</v>
      </c>
      <c r="J245" t="s">
        <v>68</v>
      </c>
      <c r="K245" t="s">
        <v>69</v>
      </c>
      <c r="L245" t="s">
        <v>604</v>
      </c>
      <c r="M245" t="s">
        <v>47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31</v>
      </c>
      <c r="U245" t="s">
        <v>494</v>
      </c>
      <c r="V245">
        <f t="shared" si="13"/>
        <v>4049.5140000000001</v>
      </c>
      <c r="W245">
        <f t="shared" si="14"/>
        <v>1540.3140000000003</v>
      </c>
      <c r="X245">
        <f t="shared" si="15"/>
        <v>38.037008885510716</v>
      </c>
      <c r="Y245">
        <f t="shared" si="16"/>
        <v>-171</v>
      </c>
      <c r="Z245" t="str" cm="1">
        <f t="array" ref="Z245">_xlfn.IFS(Y245&lt;0, "Invalid Date", ISBLANK(G245), "Missing Region", TRUE, "Clean")</f>
        <v>Invalid Date</v>
      </c>
    </row>
    <row r="246" spans="1:26">
      <c r="A246" t="s">
        <v>605</v>
      </c>
      <c r="B246" s="4">
        <v>45527</v>
      </c>
      <c r="C246" s="6">
        <v>45528</v>
      </c>
      <c r="D246" t="s">
        <v>2192</v>
      </c>
      <c r="E246" t="s">
        <v>72</v>
      </c>
      <c r="F246" t="s">
        <v>23</v>
      </c>
      <c r="G246" t="s">
        <v>50</v>
      </c>
      <c r="H246" t="s">
        <v>51</v>
      </c>
      <c r="I246" t="s">
        <v>52</v>
      </c>
      <c r="J246" t="s">
        <v>39</v>
      </c>
      <c r="K246" t="s">
        <v>134</v>
      </c>
      <c r="L246" t="s">
        <v>606</v>
      </c>
      <c r="M246" t="s">
        <v>42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31</v>
      </c>
      <c r="U246" t="s">
        <v>32</v>
      </c>
      <c r="V246">
        <f t="shared" si="13"/>
        <v>6131.34</v>
      </c>
      <c r="W246">
        <f t="shared" si="14"/>
        <v>2070.46</v>
      </c>
      <c r="X246">
        <f t="shared" si="15"/>
        <v>33.768474754295148</v>
      </c>
      <c r="Y246">
        <f t="shared" si="16"/>
        <v>1</v>
      </c>
      <c r="Z246" t="str" cm="1">
        <f t="array" ref="Z246">_xlfn.IFS(Y246&lt;0, "Invalid Date", ISBLANK(G246), "Missing Region", TRUE, "Clean")</f>
        <v>Clean</v>
      </c>
    </row>
    <row r="247" spans="1:26">
      <c r="A247" t="s">
        <v>607</v>
      </c>
      <c r="B247" s="4">
        <v>45583</v>
      </c>
      <c r="C247" s="6">
        <v>45589</v>
      </c>
      <c r="D247" t="s">
        <v>2193</v>
      </c>
      <c r="E247" t="s">
        <v>72</v>
      </c>
      <c r="F247" t="s">
        <v>85</v>
      </c>
      <c r="G247" t="s">
        <v>50</v>
      </c>
      <c r="H247" t="s">
        <v>155</v>
      </c>
      <c r="I247" t="s">
        <v>156</v>
      </c>
      <c r="J247" t="s">
        <v>608</v>
      </c>
      <c r="K247" t="s">
        <v>61</v>
      </c>
      <c r="L247" t="s">
        <v>609</v>
      </c>
      <c r="M247" t="s">
        <v>30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31</v>
      </c>
      <c r="U247" t="s">
        <v>32</v>
      </c>
      <c r="V247">
        <f t="shared" si="13"/>
        <v>9827.7899999999991</v>
      </c>
      <c r="W247">
        <f t="shared" si="14"/>
        <v>4349.5099999999993</v>
      </c>
      <c r="X247">
        <f t="shared" si="15"/>
        <v>44.25725417413274</v>
      </c>
      <c r="Y247">
        <f t="shared" si="16"/>
        <v>6</v>
      </c>
      <c r="Z247" t="str" cm="1">
        <f t="array" ref="Z247">_xlfn.IFS(Y247&lt;0, "Invalid Date", ISBLANK(G247), "Missing Region", TRUE, "Clean")</f>
        <v>Clean</v>
      </c>
    </row>
    <row r="248" spans="1:26">
      <c r="A248" t="s">
        <v>610</v>
      </c>
      <c r="B248" s="4">
        <v>45387</v>
      </c>
      <c r="C248" s="6">
        <v>45540</v>
      </c>
      <c r="D248" t="s">
        <v>2194</v>
      </c>
      <c r="E248" t="s">
        <v>57</v>
      </c>
      <c r="F248" t="s">
        <v>81</v>
      </c>
      <c r="G248" t="s">
        <v>24</v>
      </c>
      <c r="H248" t="s">
        <v>106</v>
      </c>
      <c r="I248" t="s">
        <v>107</v>
      </c>
      <c r="J248" t="s">
        <v>68</v>
      </c>
      <c r="K248" t="s">
        <v>219</v>
      </c>
      <c r="L248" t="s">
        <v>611</v>
      </c>
      <c r="M248" t="s">
        <v>42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91</v>
      </c>
      <c r="U248" t="s">
        <v>63</v>
      </c>
      <c r="V248">
        <f t="shared" si="13"/>
        <v>521.88749999999993</v>
      </c>
      <c r="W248">
        <f t="shared" si="14"/>
        <v>77.36749999999995</v>
      </c>
      <c r="X248">
        <f t="shared" si="15"/>
        <v>14.824555100476628</v>
      </c>
      <c r="Y248">
        <f t="shared" si="16"/>
        <v>153</v>
      </c>
      <c r="Z248" t="str" cm="1">
        <f t="array" ref="Z248">_xlfn.IFS(Y248&lt;0, "Invalid Date", ISBLANK(G248), "Missing Region", TRUE, "Clean")</f>
        <v>Clean</v>
      </c>
    </row>
    <row r="249" spans="1:26">
      <c r="A249" t="s">
        <v>612</v>
      </c>
      <c r="B249" s="4">
        <v>45498</v>
      </c>
      <c r="C249" s="6">
        <v>45299</v>
      </c>
      <c r="D249" t="s">
        <v>2195</v>
      </c>
      <c r="E249" t="s">
        <v>103</v>
      </c>
      <c r="F249" t="s">
        <v>81</v>
      </c>
      <c r="G249" t="s">
        <v>24</v>
      </c>
      <c r="H249" t="s">
        <v>25</v>
      </c>
      <c r="I249" t="s">
        <v>26</v>
      </c>
      <c r="J249" t="s">
        <v>68</v>
      </c>
      <c r="K249" t="s">
        <v>69</v>
      </c>
      <c r="L249" t="s">
        <v>613</v>
      </c>
      <c r="M249" t="s">
        <v>30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31</v>
      </c>
      <c r="U249" t="s">
        <v>32</v>
      </c>
      <c r="V249">
        <f t="shared" si="13"/>
        <v>14960.400000000001</v>
      </c>
      <c r="W249">
        <f t="shared" si="14"/>
        <v>2459.5600000000013</v>
      </c>
      <c r="X249">
        <f t="shared" si="15"/>
        <v>16.440469506162945</v>
      </c>
      <c r="Y249">
        <f t="shared" si="16"/>
        <v>-199</v>
      </c>
      <c r="Z249" t="str" cm="1">
        <f t="array" ref="Z249">_xlfn.IFS(Y249&lt;0, "Invalid Date", ISBLANK(G249), "Missing Region", TRUE, "Clean")</f>
        <v>Invalid Date</v>
      </c>
    </row>
    <row r="250" spans="1:26">
      <c r="A250" t="s">
        <v>614</v>
      </c>
      <c r="B250" s="4">
        <v>45445</v>
      </c>
      <c r="C250" s="6">
        <v>45479</v>
      </c>
      <c r="D250" t="s">
        <v>2196</v>
      </c>
      <c r="E250" t="s">
        <v>121</v>
      </c>
      <c r="F250" t="s">
        <v>85</v>
      </c>
      <c r="G250" t="s">
        <v>36</v>
      </c>
      <c r="H250" t="s">
        <v>37</v>
      </c>
      <c r="I250" t="s">
        <v>38</v>
      </c>
      <c r="J250" t="s">
        <v>27</v>
      </c>
      <c r="K250" t="s">
        <v>82</v>
      </c>
      <c r="L250" t="s">
        <v>615</v>
      </c>
      <c r="M250" t="s">
        <v>30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31</v>
      </c>
      <c r="U250" t="s">
        <v>32</v>
      </c>
      <c r="V250">
        <f t="shared" si="13"/>
        <v>6027.5114999999996</v>
      </c>
      <c r="W250">
        <f t="shared" si="14"/>
        <v>1143.6914999999999</v>
      </c>
      <c r="X250">
        <f t="shared" si="15"/>
        <v>18.974522072666307</v>
      </c>
      <c r="Y250">
        <f t="shared" si="16"/>
        <v>34</v>
      </c>
      <c r="Z250" t="str" cm="1">
        <f t="array" ref="Z250">_xlfn.IFS(Y250&lt;0, "Invalid Date", ISBLANK(G250), "Missing Region", TRUE, "Clean")</f>
        <v>Clean</v>
      </c>
    </row>
    <row r="251" spans="1:26">
      <c r="A251" t="s">
        <v>616</v>
      </c>
      <c r="B251" s="4">
        <v>45870</v>
      </c>
      <c r="C251" s="6">
        <v>45871</v>
      </c>
      <c r="D251" t="s">
        <v>2197</v>
      </c>
      <c r="E251" t="s">
        <v>34</v>
      </c>
      <c r="F251" t="s">
        <v>81</v>
      </c>
      <c r="G251" t="s">
        <v>24</v>
      </c>
      <c r="H251" t="s">
        <v>25</v>
      </c>
      <c r="I251" t="s">
        <v>26</v>
      </c>
      <c r="J251" t="s">
        <v>39</v>
      </c>
      <c r="K251" t="s">
        <v>53</v>
      </c>
      <c r="L251" t="s">
        <v>617</v>
      </c>
      <c r="M251" t="s">
        <v>47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31</v>
      </c>
      <c r="U251" t="s">
        <v>32</v>
      </c>
      <c r="V251">
        <f t="shared" si="13"/>
        <v>8928.9279999999999</v>
      </c>
      <c r="W251">
        <f t="shared" si="14"/>
        <v>3294.5479999999998</v>
      </c>
      <c r="X251">
        <f t="shared" si="15"/>
        <v>36.897464062875187</v>
      </c>
      <c r="Y251">
        <f t="shared" si="16"/>
        <v>1</v>
      </c>
      <c r="Z251" t="str" cm="1">
        <f t="array" ref="Z251">_xlfn.IFS(Y251&lt;0, "Invalid Date", ISBLANK(G251), "Missing Region", TRUE, "Clean")</f>
        <v>Clean</v>
      </c>
    </row>
    <row r="252" spans="1:26">
      <c r="A252" t="s">
        <v>618</v>
      </c>
      <c r="B252" s="4">
        <v>45343</v>
      </c>
      <c r="C252" s="6">
        <v>45349</v>
      </c>
      <c r="D252" t="s">
        <v>2198</v>
      </c>
      <c r="E252" t="s">
        <v>49</v>
      </c>
      <c r="F252" t="s">
        <v>35</v>
      </c>
      <c r="G252" t="s">
        <v>36</v>
      </c>
      <c r="H252" t="s">
        <v>88</v>
      </c>
      <c r="I252" t="s">
        <v>89</v>
      </c>
      <c r="J252" t="s">
        <v>39</v>
      </c>
      <c r="K252" t="s">
        <v>53</v>
      </c>
      <c r="L252" t="s">
        <v>619</v>
      </c>
      <c r="M252" t="s">
        <v>55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98</v>
      </c>
      <c r="U252" t="s">
        <v>92</v>
      </c>
      <c r="V252">
        <f t="shared" si="13"/>
        <v>14338.904999999999</v>
      </c>
      <c r="W252">
        <f t="shared" si="14"/>
        <v>2441.2549999999992</v>
      </c>
      <c r="X252">
        <f t="shared" si="15"/>
        <v>17.025393501107647</v>
      </c>
      <c r="Y252">
        <f t="shared" si="16"/>
        <v>6</v>
      </c>
      <c r="Z252" t="str" cm="1">
        <f t="array" ref="Z252">_xlfn.IFS(Y252&lt;0, "Invalid Date", ISBLANK(G252), "Missing Region", TRUE, "Clean")</f>
        <v>Clean</v>
      </c>
    </row>
    <row r="253" spans="1:26">
      <c r="A253" t="s">
        <v>620</v>
      </c>
      <c r="B253" s="4">
        <v>45812</v>
      </c>
      <c r="C253" s="6">
        <v>45757</v>
      </c>
      <c r="D253" t="s">
        <v>2199</v>
      </c>
      <c r="E253" t="s">
        <v>57</v>
      </c>
      <c r="F253" t="s">
        <v>81</v>
      </c>
      <c r="G253" t="s">
        <v>58</v>
      </c>
      <c r="H253" t="s">
        <v>151</v>
      </c>
      <c r="I253" t="s">
        <v>152</v>
      </c>
      <c r="J253" t="s">
        <v>39</v>
      </c>
      <c r="K253" t="s">
        <v>40</v>
      </c>
      <c r="L253" t="s">
        <v>621</v>
      </c>
      <c r="M253" t="s">
        <v>30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31</v>
      </c>
      <c r="U253" t="s">
        <v>32</v>
      </c>
      <c r="V253">
        <f t="shared" si="13"/>
        <v>6132.96</v>
      </c>
      <c r="W253">
        <f t="shared" si="14"/>
        <v>1251.8599999999997</v>
      </c>
      <c r="X253">
        <f t="shared" si="15"/>
        <v>20.412003339333694</v>
      </c>
      <c r="Y253">
        <f t="shared" si="16"/>
        <v>-55</v>
      </c>
      <c r="Z253" t="str" cm="1">
        <f t="array" ref="Z253">_xlfn.IFS(Y253&lt;0, "Invalid Date", ISBLANK(G253), "Missing Region", TRUE, "Clean")</f>
        <v>Invalid Date</v>
      </c>
    </row>
    <row r="254" spans="1:26">
      <c r="A254" t="s">
        <v>622</v>
      </c>
      <c r="B254" s="4">
        <v>45833</v>
      </c>
      <c r="C254" s="6">
        <v>45836</v>
      </c>
      <c r="D254" t="s">
        <v>2200</v>
      </c>
      <c r="E254" t="s">
        <v>49</v>
      </c>
      <c r="F254" t="s">
        <v>81</v>
      </c>
      <c r="G254" t="s">
        <v>24</v>
      </c>
      <c r="H254" t="s">
        <v>192</v>
      </c>
      <c r="I254" t="s">
        <v>193</v>
      </c>
      <c r="J254" t="s">
        <v>27</v>
      </c>
      <c r="K254" t="s">
        <v>108</v>
      </c>
      <c r="L254" t="s">
        <v>623</v>
      </c>
      <c r="M254" t="s">
        <v>47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98</v>
      </c>
      <c r="U254" t="s">
        <v>92</v>
      </c>
      <c r="V254">
        <f t="shared" si="13"/>
        <v>2329.4720000000002</v>
      </c>
      <c r="W254">
        <f t="shared" si="14"/>
        <v>725.85200000000032</v>
      </c>
      <c r="X254">
        <f t="shared" si="15"/>
        <v>31.159507390515973</v>
      </c>
      <c r="Y254">
        <f t="shared" si="16"/>
        <v>3</v>
      </c>
      <c r="Z254" t="str" cm="1">
        <f t="array" ref="Z254">_xlfn.IFS(Y254&lt;0, "Invalid Date", ISBLANK(G254), "Missing Region", TRUE, "Clean")</f>
        <v>Clean</v>
      </c>
    </row>
    <row r="255" spans="1:26">
      <c r="A255" t="s">
        <v>624</v>
      </c>
      <c r="B255" s="4">
        <v>45635</v>
      </c>
      <c r="C255" s="6">
        <v>45548</v>
      </c>
      <c r="D255" t="s">
        <v>2201</v>
      </c>
      <c r="E255" t="s">
        <v>100</v>
      </c>
      <c r="F255" t="s">
        <v>35</v>
      </c>
      <c r="G255" t="s">
        <v>24</v>
      </c>
      <c r="H255" t="s">
        <v>25</v>
      </c>
      <c r="I255" t="s">
        <v>26</v>
      </c>
      <c r="J255" t="s">
        <v>68</v>
      </c>
      <c r="K255" t="s">
        <v>144</v>
      </c>
      <c r="L255" t="s">
        <v>625</v>
      </c>
      <c r="M255" t="s">
        <v>42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91</v>
      </c>
      <c r="U255" t="s">
        <v>63</v>
      </c>
      <c r="V255">
        <f t="shared" si="13"/>
        <v>4746.9029999999993</v>
      </c>
      <c r="W255">
        <f t="shared" si="14"/>
        <v>1921.5229999999992</v>
      </c>
      <c r="X255">
        <f t="shared" si="15"/>
        <v>40.479508428969361</v>
      </c>
      <c r="Y255">
        <f t="shared" si="16"/>
        <v>-87</v>
      </c>
      <c r="Z255" t="str" cm="1">
        <f t="array" ref="Z255">_xlfn.IFS(Y255&lt;0, "Invalid Date", ISBLANK(G255), "Missing Region", TRUE, "Clean")</f>
        <v>Invalid Date</v>
      </c>
    </row>
    <row r="256" spans="1:26">
      <c r="A256" t="s">
        <v>626</v>
      </c>
      <c r="B256" s="4">
        <v>45658</v>
      </c>
      <c r="C256" s="6">
        <v>45717</v>
      </c>
      <c r="D256" t="s">
        <v>2202</v>
      </c>
      <c r="E256" t="s">
        <v>57</v>
      </c>
      <c r="F256" t="s">
        <v>23</v>
      </c>
      <c r="G256" t="s">
        <v>58</v>
      </c>
      <c r="H256" t="s">
        <v>66</v>
      </c>
      <c r="I256" t="s">
        <v>67</v>
      </c>
      <c r="J256" t="s">
        <v>68</v>
      </c>
      <c r="K256" t="s">
        <v>69</v>
      </c>
      <c r="L256" t="s">
        <v>627</v>
      </c>
      <c r="M256" t="s">
        <v>42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31</v>
      </c>
      <c r="U256" t="s">
        <v>92</v>
      </c>
      <c r="V256">
        <f t="shared" si="13"/>
        <v>5603.08</v>
      </c>
      <c r="W256">
        <f t="shared" si="14"/>
        <v>2470.56</v>
      </c>
      <c r="X256">
        <f t="shared" si="15"/>
        <v>44.092891766671187</v>
      </c>
      <c r="Y256">
        <f t="shared" si="16"/>
        <v>59</v>
      </c>
      <c r="Z256" t="str" cm="1">
        <f t="array" ref="Z256">_xlfn.IFS(Y256&lt;0, "Invalid Date", ISBLANK(G256), "Missing Region", TRUE, "Clean")</f>
        <v>Clean</v>
      </c>
    </row>
    <row r="257" spans="1:26">
      <c r="A257" t="s">
        <v>628</v>
      </c>
      <c r="B257" s="4">
        <v>45749</v>
      </c>
      <c r="C257" s="6">
        <v>45698</v>
      </c>
      <c r="D257" t="s">
        <v>2203</v>
      </c>
      <c r="E257" t="s">
        <v>44</v>
      </c>
      <c r="F257" t="s">
        <v>81</v>
      </c>
      <c r="G257" t="s">
        <v>58</v>
      </c>
      <c r="H257" t="s">
        <v>59</v>
      </c>
      <c r="I257" t="s">
        <v>60</v>
      </c>
      <c r="J257" t="s">
        <v>68</v>
      </c>
      <c r="K257" t="s">
        <v>144</v>
      </c>
      <c r="L257" t="s">
        <v>629</v>
      </c>
      <c r="M257" t="s">
        <v>47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31</v>
      </c>
      <c r="U257" t="s">
        <v>32</v>
      </c>
      <c r="V257">
        <f t="shared" si="13"/>
        <v>12810</v>
      </c>
      <c r="W257">
        <f t="shared" si="14"/>
        <v>3475.8799999999992</v>
      </c>
      <c r="X257">
        <f t="shared" si="15"/>
        <v>27.134113973458231</v>
      </c>
      <c r="Y257">
        <f t="shared" si="16"/>
        <v>-51</v>
      </c>
      <c r="Z257" t="str" cm="1">
        <f t="array" ref="Z257">_xlfn.IFS(Y257&lt;0, "Invalid Date", ISBLANK(G257), "Missing Region", TRUE, "Clean")</f>
        <v>Invalid Date</v>
      </c>
    </row>
    <row r="258" spans="1:26">
      <c r="A258" t="s">
        <v>630</v>
      </c>
      <c r="B258" s="4">
        <v>45423</v>
      </c>
      <c r="C258" s="6">
        <v>45362</v>
      </c>
      <c r="D258" t="s">
        <v>2204</v>
      </c>
      <c r="E258" t="s">
        <v>57</v>
      </c>
      <c r="F258" t="s">
        <v>23</v>
      </c>
      <c r="G258" t="s">
        <v>36</v>
      </c>
      <c r="H258" t="s">
        <v>88</v>
      </c>
      <c r="I258" t="s">
        <v>89</v>
      </c>
      <c r="J258" t="s">
        <v>39</v>
      </c>
      <c r="K258" t="s">
        <v>40</v>
      </c>
      <c r="L258" t="s">
        <v>631</v>
      </c>
      <c r="M258" t="s">
        <v>47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31</v>
      </c>
      <c r="U258" t="s">
        <v>32</v>
      </c>
      <c r="V258">
        <f t="shared" si="13"/>
        <v>19328.215500000002</v>
      </c>
      <c r="W258">
        <f t="shared" si="14"/>
        <v>7288.7155000000021</v>
      </c>
      <c r="X258">
        <f t="shared" si="15"/>
        <v>37.710235070588908</v>
      </c>
      <c r="Y258">
        <f t="shared" si="16"/>
        <v>-61</v>
      </c>
      <c r="Z258" t="str" cm="1">
        <f t="array" ref="Z258">_xlfn.IFS(Y258&lt;0, "Invalid Date", ISBLANK(G258), "Missing Region", TRUE, "Clean")</f>
        <v>Invalid Date</v>
      </c>
    </row>
    <row r="259" spans="1:26">
      <c r="A259" t="s">
        <v>632</v>
      </c>
      <c r="B259" s="4">
        <v>45908</v>
      </c>
      <c r="C259" s="6">
        <v>45999</v>
      </c>
      <c r="D259" t="s">
        <v>2205</v>
      </c>
      <c r="E259" t="s">
        <v>137</v>
      </c>
      <c r="F259" t="s">
        <v>81</v>
      </c>
      <c r="G259" t="s">
        <v>50</v>
      </c>
      <c r="H259" t="s">
        <v>147</v>
      </c>
      <c r="I259" t="s">
        <v>148</v>
      </c>
      <c r="J259" t="s">
        <v>68</v>
      </c>
      <c r="K259" t="s">
        <v>69</v>
      </c>
      <c r="L259" t="s">
        <v>633</v>
      </c>
      <c r="M259" t="s">
        <v>30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31</v>
      </c>
      <c r="U259" t="s">
        <v>63</v>
      </c>
      <c r="V259">
        <f t="shared" ref="V259:V322" si="17">N259*O259*(1- P259)</f>
        <v>6474.54</v>
      </c>
      <c r="W259">
        <f t="shared" ref="W259:W322" si="18">V259-R259</f>
        <v>1378.63</v>
      </c>
      <c r="X259">
        <f t="shared" ref="X259:X322" si="19">W259/V259*100</f>
        <v>21.293095725719514</v>
      </c>
      <c r="Y259">
        <f t="shared" si="16"/>
        <v>91</v>
      </c>
      <c r="Z259" t="str" cm="1">
        <f t="array" ref="Z259">_xlfn.IFS(Y259&lt;0, "Invalid Date", ISBLANK(G259), "Missing Region", TRUE, "Clean")</f>
        <v>Clean</v>
      </c>
    </row>
    <row r="260" spans="1:26">
      <c r="A260" t="s">
        <v>634</v>
      </c>
      <c r="B260" s="4">
        <v>45656</v>
      </c>
      <c r="C260" s="6">
        <v>45748</v>
      </c>
      <c r="D260" t="s">
        <v>2206</v>
      </c>
      <c r="E260" t="s">
        <v>114</v>
      </c>
      <c r="F260" t="s">
        <v>81</v>
      </c>
      <c r="G260" t="s">
        <v>50</v>
      </c>
      <c r="H260" t="s">
        <v>200</v>
      </c>
      <c r="I260" t="s">
        <v>201</v>
      </c>
      <c r="J260" t="s">
        <v>39</v>
      </c>
      <c r="K260" t="s">
        <v>40</v>
      </c>
      <c r="L260" t="s">
        <v>635</v>
      </c>
      <c r="M260" t="s">
        <v>42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31</v>
      </c>
      <c r="U260" t="s">
        <v>32</v>
      </c>
      <c r="V260">
        <f t="shared" si="17"/>
        <v>5580.1050000000005</v>
      </c>
      <c r="W260">
        <f t="shared" si="18"/>
        <v>1273.0950000000003</v>
      </c>
      <c r="X260">
        <f t="shared" si="19"/>
        <v>22.814893268137428</v>
      </c>
      <c r="Y260">
        <f t="shared" si="16"/>
        <v>92</v>
      </c>
      <c r="Z260" t="str" cm="1">
        <f t="array" ref="Z260">_xlfn.IFS(Y260&lt;0, "Invalid Date", ISBLANK(G260), "Missing Region", TRUE, "Clean")</f>
        <v>Clean</v>
      </c>
    </row>
    <row r="261" spans="1:26">
      <c r="A261" t="s">
        <v>636</v>
      </c>
      <c r="B261" s="4">
        <v>45464</v>
      </c>
      <c r="C261" s="6">
        <v>45472</v>
      </c>
      <c r="D261" t="s">
        <v>2207</v>
      </c>
      <c r="E261" t="s">
        <v>72</v>
      </c>
      <c r="F261" t="s">
        <v>23</v>
      </c>
      <c r="G261" t="s">
        <v>50</v>
      </c>
      <c r="H261" t="s">
        <v>200</v>
      </c>
      <c r="I261" t="s">
        <v>201</v>
      </c>
      <c r="J261" t="s">
        <v>68</v>
      </c>
      <c r="K261" t="s">
        <v>219</v>
      </c>
      <c r="L261" t="s">
        <v>637</v>
      </c>
      <c r="M261" t="s">
        <v>55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31</v>
      </c>
      <c r="U261" t="s">
        <v>32</v>
      </c>
      <c r="V261">
        <f t="shared" si="17"/>
        <v>18265.088</v>
      </c>
      <c r="W261">
        <f t="shared" si="18"/>
        <v>7827.9480000000003</v>
      </c>
      <c r="X261">
        <f t="shared" si="19"/>
        <v>42.857433810338065</v>
      </c>
      <c r="Y261">
        <f t="shared" si="16"/>
        <v>8</v>
      </c>
      <c r="Z261" t="str" cm="1">
        <f t="array" ref="Z261">_xlfn.IFS(Y261&lt;0, "Invalid Date", ISBLANK(G261), "Missing Region", TRUE, "Clean")</f>
        <v>Clean</v>
      </c>
    </row>
    <row r="262" spans="1:26">
      <c r="A262" t="s">
        <v>638</v>
      </c>
      <c r="B262" s="4">
        <v>45923</v>
      </c>
      <c r="C262" s="6">
        <v>45927</v>
      </c>
      <c r="D262" t="s">
        <v>2208</v>
      </c>
      <c r="E262" t="s">
        <v>80</v>
      </c>
      <c r="F262" t="s">
        <v>81</v>
      </c>
      <c r="G262" t="s">
        <v>36</v>
      </c>
      <c r="H262" t="s">
        <v>88</v>
      </c>
      <c r="I262" t="s">
        <v>89</v>
      </c>
      <c r="J262" t="s">
        <v>27</v>
      </c>
      <c r="K262" t="s">
        <v>130</v>
      </c>
      <c r="L262" t="s">
        <v>639</v>
      </c>
      <c r="M262" t="s">
        <v>42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132</v>
      </c>
      <c r="U262" t="s">
        <v>92</v>
      </c>
      <c r="V262">
        <f t="shared" si="17"/>
        <v>15209.880000000001</v>
      </c>
      <c r="W262">
        <f t="shared" si="18"/>
        <v>4318.7300000000014</v>
      </c>
      <c r="X262">
        <f t="shared" si="19"/>
        <v>28.394241111698452</v>
      </c>
      <c r="Y262">
        <f t="shared" si="16"/>
        <v>4</v>
      </c>
      <c r="Z262" t="str" cm="1">
        <f t="array" ref="Z262">_xlfn.IFS(Y262&lt;0, "Invalid Date", ISBLANK(G262), "Missing Region", TRUE, "Clean")</f>
        <v>Clean</v>
      </c>
    </row>
    <row r="263" spans="1:26">
      <c r="A263" t="s">
        <v>640</v>
      </c>
      <c r="B263" s="4">
        <v>45826</v>
      </c>
      <c r="C263" s="6">
        <v>45832</v>
      </c>
      <c r="D263" t="s">
        <v>2122</v>
      </c>
      <c r="E263" t="s">
        <v>114</v>
      </c>
      <c r="F263" t="s">
        <v>81</v>
      </c>
      <c r="G263" t="s">
        <v>24</v>
      </c>
      <c r="H263" t="s">
        <v>25</v>
      </c>
      <c r="I263" t="s">
        <v>26</v>
      </c>
      <c r="J263" t="s">
        <v>27</v>
      </c>
      <c r="K263" t="s">
        <v>82</v>
      </c>
      <c r="L263" t="s">
        <v>641</v>
      </c>
      <c r="M263" t="s">
        <v>55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132</v>
      </c>
      <c r="U263" t="s">
        <v>63</v>
      </c>
      <c r="V263">
        <f t="shared" si="17"/>
        <v>1648.1760000000004</v>
      </c>
      <c r="W263">
        <f t="shared" si="18"/>
        <v>660.26600000000042</v>
      </c>
      <c r="X263">
        <f t="shared" si="19"/>
        <v>40.060406170214847</v>
      </c>
      <c r="Y263">
        <f t="shared" ref="Y263:Y326" si="20">C263-B263</f>
        <v>6</v>
      </c>
      <c r="Z263" t="str" cm="1">
        <f t="array" ref="Z263">_xlfn.IFS(Y263&lt;0, "Invalid Date", ISBLANK(G263), "Missing Region", TRUE, "Clean")</f>
        <v>Clean</v>
      </c>
    </row>
    <row r="264" spans="1:26">
      <c r="A264" t="s">
        <v>642</v>
      </c>
      <c r="B264" s="4">
        <v>45803</v>
      </c>
      <c r="C264" s="6">
        <v>45663</v>
      </c>
      <c r="D264" t="s">
        <v>2209</v>
      </c>
      <c r="E264" t="s">
        <v>49</v>
      </c>
      <c r="F264" t="s">
        <v>35</v>
      </c>
      <c r="G264" t="s">
        <v>24</v>
      </c>
      <c r="H264" t="s">
        <v>270</v>
      </c>
      <c r="I264" t="s">
        <v>271</v>
      </c>
      <c r="J264" t="s">
        <v>68</v>
      </c>
      <c r="K264" t="s">
        <v>144</v>
      </c>
      <c r="L264" t="s">
        <v>643</v>
      </c>
      <c r="M264" t="s">
        <v>42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98</v>
      </c>
      <c r="U264" t="s">
        <v>92</v>
      </c>
      <c r="V264">
        <f t="shared" si="17"/>
        <v>13399.44</v>
      </c>
      <c r="W264">
        <f t="shared" si="18"/>
        <v>4818.09</v>
      </c>
      <c r="X264">
        <f t="shared" si="19"/>
        <v>35.957398219627088</v>
      </c>
      <c r="Y264">
        <f t="shared" si="20"/>
        <v>-140</v>
      </c>
      <c r="Z264" t="str" cm="1">
        <f t="array" ref="Z264">_xlfn.IFS(Y264&lt;0, "Invalid Date", ISBLANK(G264), "Missing Region", TRUE, "Clean")</f>
        <v>Invalid Date</v>
      </c>
    </row>
    <row r="265" spans="1:26">
      <c r="A265" t="s">
        <v>644</v>
      </c>
      <c r="B265" s="4">
        <v>45816</v>
      </c>
      <c r="C265" s="6">
        <v>45938</v>
      </c>
      <c r="D265" t="s">
        <v>2210</v>
      </c>
      <c r="E265" t="s">
        <v>121</v>
      </c>
      <c r="F265" t="s">
        <v>35</v>
      </c>
      <c r="G265" t="s">
        <v>24</v>
      </c>
      <c r="H265" t="s">
        <v>270</v>
      </c>
      <c r="I265" t="s">
        <v>271</v>
      </c>
      <c r="J265" t="s">
        <v>27</v>
      </c>
      <c r="K265" t="s">
        <v>130</v>
      </c>
      <c r="L265" t="s">
        <v>645</v>
      </c>
      <c r="M265" t="s">
        <v>30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98</v>
      </c>
      <c r="U265" t="s">
        <v>92</v>
      </c>
      <c r="V265">
        <f t="shared" si="17"/>
        <v>32743.844999999998</v>
      </c>
      <c r="W265">
        <f t="shared" si="18"/>
        <v>10291.794999999998</v>
      </c>
      <c r="X265">
        <f t="shared" si="19"/>
        <v>31.4312353970647</v>
      </c>
      <c r="Y265">
        <f t="shared" si="20"/>
        <v>122</v>
      </c>
      <c r="Z265" t="str" cm="1">
        <f t="array" ref="Z265">_xlfn.IFS(Y265&lt;0, "Invalid Date", ISBLANK(G265), "Missing Region", TRUE, "Clean")</f>
        <v>Clean</v>
      </c>
    </row>
    <row r="266" spans="1:26">
      <c r="A266" t="s">
        <v>646</v>
      </c>
      <c r="B266" s="4">
        <v>45428</v>
      </c>
      <c r="C266" s="6">
        <v>45433</v>
      </c>
      <c r="D266" t="s">
        <v>2211</v>
      </c>
      <c r="E266" t="s">
        <v>137</v>
      </c>
      <c r="F266" t="s">
        <v>35</v>
      </c>
      <c r="G266" t="s">
        <v>36</v>
      </c>
      <c r="H266" t="s">
        <v>124</v>
      </c>
      <c r="I266" t="s">
        <v>125</v>
      </c>
      <c r="J266" t="s">
        <v>68</v>
      </c>
      <c r="K266" t="s">
        <v>73</v>
      </c>
      <c r="L266" t="s">
        <v>647</v>
      </c>
      <c r="M266" t="s">
        <v>55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31</v>
      </c>
      <c r="U266" t="s">
        <v>32</v>
      </c>
      <c r="V266">
        <f t="shared" si="17"/>
        <v>6012.28</v>
      </c>
      <c r="W266">
        <f t="shared" si="18"/>
        <v>2084.64</v>
      </c>
      <c r="X266">
        <f t="shared" si="19"/>
        <v>34.67303585328694</v>
      </c>
      <c r="Y266">
        <f t="shared" si="20"/>
        <v>5</v>
      </c>
      <c r="Z266" t="str" cm="1">
        <f t="array" ref="Z266">_xlfn.IFS(Y266&lt;0, "Invalid Date", ISBLANK(G266), "Missing Region", TRUE, "Clean")</f>
        <v>Clean</v>
      </c>
    </row>
    <row r="267" spans="1:26">
      <c r="A267" t="s">
        <v>648</v>
      </c>
      <c r="B267" s="4">
        <v>45610</v>
      </c>
      <c r="C267" s="6">
        <v>45618</v>
      </c>
      <c r="D267" t="s">
        <v>2212</v>
      </c>
      <c r="E267" t="s">
        <v>100</v>
      </c>
      <c r="F267" t="s">
        <v>81</v>
      </c>
      <c r="G267" t="s">
        <v>36</v>
      </c>
      <c r="H267" t="s">
        <v>124</v>
      </c>
      <c r="I267" t="s">
        <v>125</v>
      </c>
      <c r="J267" t="s">
        <v>39</v>
      </c>
      <c r="K267" t="s">
        <v>134</v>
      </c>
      <c r="L267" t="s">
        <v>649</v>
      </c>
      <c r="M267" t="s">
        <v>42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91</v>
      </c>
      <c r="U267" t="s">
        <v>63</v>
      </c>
      <c r="V267">
        <f t="shared" si="17"/>
        <v>495.0145</v>
      </c>
      <c r="W267">
        <f t="shared" si="18"/>
        <v>209.8845</v>
      </c>
      <c r="X267">
        <f t="shared" si="19"/>
        <v>42.39966708045926</v>
      </c>
      <c r="Y267">
        <f t="shared" si="20"/>
        <v>8</v>
      </c>
      <c r="Z267" t="str" cm="1">
        <f t="array" ref="Z267">_xlfn.IFS(Y267&lt;0, "Invalid Date", ISBLANK(G267), "Missing Region", TRUE, "Clean")</f>
        <v>Clean</v>
      </c>
    </row>
    <row r="268" spans="1:26">
      <c r="A268" t="s">
        <v>650</v>
      </c>
      <c r="B268" s="4">
        <v>45721</v>
      </c>
      <c r="C268" s="6">
        <v>45935</v>
      </c>
      <c r="D268" t="s">
        <v>2213</v>
      </c>
      <c r="E268" t="s">
        <v>72</v>
      </c>
      <c r="F268" t="s">
        <v>85</v>
      </c>
      <c r="G268" t="s">
        <v>58</v>
      </c>
      <c r="H268" t="s">
        <v>59</v>
      </c>
      <c r="I268" t="s">
        <v>60</v>
      </c>
      <c r="J268" t="s">
        <v>27</v>
      </c>
      <c r="K268" t="s">
        <v>108</v>
      </c>
      <c r="L268" t="s">
        <v>651</v>
      </c>
      <c r="M268" t="s">
        <v>30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31</v>
      </c>
      <c r="U268" t="s">
        <v>32</v>
      </c>
      <c r="V268">
        <f t="shared" si="17"/>
        <v>13017.72</v>
      </c>
      <c r="W268">
        <f t="shared" si="18"/>
        <v>2847.1499999999996</v>
      </c>
      <c r="X268">
        <f t="shared" si="19"/>
        <v>21.871341525244052</v>
      </c>
      <c r="Y268">
        <f t="shared" si="20"/>
        <v>214</v>
      </c>
      <c r="Z268" t="str" cm="1">
        <f t="array" ref="Z268">_xlfn.IFS(Y268&lt;0, "Invalid Date", ISBLANK(G268), "Missing Region", TRUE, "Clean")</f>
        <v>Clean</v>
      </c>
    </row>
    <row r="269" spans="1:26">
      <c r="A269" t="s">
        <v>652</v>
      </c>
      <c r="B269" s="4">
        <v>45805</v>
      </c>
      <c r="C269" s="6">
        <v>45753</v>
      </c>
      <c r="D269" t="s">
        <v>2214</v>
      </c>
      <c r="E269" t="s">
        <v>137</v>
      </c>
      <c r="F269" t="s">
        <v>81</v>
      </c>
      <c r="G269" t="s">
        <v>36</v>
      </c>
      <c r="H269" t="s">
        <v>186</v>
      </c>
      <c r="I269" t="s">
        <v>187</v>
      </c>
      <c r="J269" t="s">
        <v>39</v>
      </c>
      <c r="K269" t="s">
        <v>53</v>
      </c>
      <c r="L269" t="s">
        <v>653</v>
      </c>
      <c r="M269" t="s">
        <v>47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31</v>
      </c>
      <c r="U269" t="s">
        <v>32</v>
      </c>
      <c r="V269">
        <f t="shared" si="17"/>
        <v>785.40000000000009</v>
      </c>
      <c r="W269">
        <f t="shared" si="18"/>
        <v>228.18000000000006</v>
      </c>
      <c r="X269">
        <f t="shared" si="19"/>
        <v>29.052711993888469</v>
      </c>
      <c r="Y269">
        <f t="shared" si="20"/>
        <v>-52</v>
      </c>
      <c r="Z269" t="str" cm="1">
        <f t="array" ref="Z269">_xlfn.IFS(Y269&lt;0, "Invalid Date", ISBLANK(G269), "Missing Region", TRUE, "Clean")</f>
        <v>Invalid Date</v>
      </c>
    </row>
    <row r="270" spans="1:26">
      <c r="A270" t="s">
        <v>654</v>
      </c>
      <c r="B270" s="4">
        <v>45886</v>
      </c>
      <c r="C270" s="6">
        <v>45886</v>
      </c>
      <c r="D270" t="s">
        <v>2215</v>
      </c>
      <c r="E270" t="s">
        <v>111</v>
      </c>
      <c r="F270" t="s">
        <v>85</v>
      </c>
      <c r="G270" t="s">
        <v>24</v>
      </c>
      <c r="H270" t="s">
        <v>106</v>
      </c>
      <c r="I270" t="s">
        <v>107</v>
      </c>
      <c r="J270" t="s">
        <v>68</v>
      </c>
      <c r="K270" t="s">
        <v>69</v>
      </c>
      <c r="L270" t="s">
        <v>655</v>
      </c>
      <c r="M270" t="s">
        <v>47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31</v>
      </c>
      <c r="U270" t="s">
        <v>32</v>
      </c>
      <c r="V270">
        <f t="shared" si="17"/>
        <v>3319.05</v>
      </c>
      <c r="W270">
        <f t="shared" si="18"/>
        <v>1194.4500000000003</v>
      </c>
      <c r="X270">
        <f t="shared" si="19"/>
        <v>35.987707325891449</v>
      </c>
      <c r="Y270">
        <f t="shared" si="20"/>
        <v>0</v>
      </c>
      <c r="Z270" t="str" cm="1">
        <f t="array" ref="Z270">_xlfn.IFS(Y270&lt;0, "Invalid Date", ISBLANK(G270), "Missing Region", TRUE, "Clean")</f>
        <v>Clean</v>
      </c>
    </row>
    <row r="271" spans="1:26">
      <c r="A271" t="s">
        <v>656</v>
      </c>
      <c r="B271" s="4">
        <v>45698</v>
      </c>
      <c r="C271" s="6">
        <v>45700</v>
      </c>
      <c r="D271" t="s">
        <v>2216</v>
      </c>
      <c r="E271" t="s">
        <v>103</v>
      </c>
      <c r="F271" t="s">
        <v>35</v>
      </c>
      <c r="G271" t="s">
        <v>58</v>
      </c>
      <c r="H271" t="s">
        <v>25</v>
      </c>
      <c r="I271" t="s">
        <v>96</v>
      </c>
      <c r="J271" t="s">
        <v>39</v>
      </c>
      <c r="K271" t="s">
        <v>40</v>
      </c>
      <c r="L271" t="s">
        <v>657</v>
      </c>
      <c r="M271" t="s">
        <v>42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31</v>
      </c>
      <c r="U271" t="s">
        <v>32</v>
      </c>
      <c r="V271">
        <f t="shared" si="17"/>
        <v>1925.86</v>
      </c>
      <c r="W271">
        <f t="shared" si="18"/>
        <v>603.9699999999998</v>
      </c>
      <c r="X271">
        <f t="shared" si="19"/>
        <v>31.36105428224273</v>
      </c>
      <c r="Y271">
        <f t="shared" si="20"/>
        <v>2</v>
      </c>
      <c r="Z271" t="str" cm="1">
        <f t="array" ref="Z271">_xlfn.IFS(Y271&lt;0, "Invalid Date", ISBLANK(G271), "Missing Region", TRUE, "Clean")</f>
        <v>Clean</v>
      </c>
    </row>
    <row r="272" spans="1:26">
      <c r="A272" t="s">
        <v>658</v>
      </c>
      <c r="B272" s="4">
        <v>45303</v>
      </c>
      <c r="C272" s="6">
        <v>45304</v>
      </c>
      <c r="D272" t="s">
        <v>2217</v>
      </c>
      <c r="E272" t="s">
        <v>80</v>
      </c>
      <c r="F272" t="s">
        <v>81</v>
      </c>
      <c r="G272" t="s">
        <v>24</v>
      </c>
      <c r="H272" t="s">
        <v>117</v>
      </c>
      <c r="I272" t="s">
        <v>118</v>
      </c>
      <c r="J272" t="s">
        <v>68</v>
      </c>
      <c r="K272" t="s">
        <v>219</v>
      </c>
      <c r="L272" t="s">
        <v>659</v>
      </c>
      <c r="M272" t="s">
        <v>42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31</v>
      </c>
      <c r="U272" t="s">
        <v>32</v>
      </c>
      <c r="V272">
        <f t="shared" si="17"/>
        <v>2482.3200000000002</v>
      </c>
      <c r="W272">
        <f t="shared" si="18"/>
        <v>962.11000000000013</v>
      </c>
      <c r="X272">
        <f t="shared" si="19"/>
        <v>38.758500112797705</v>
      </c>
      <c r="Y272">
        <f t="shared" si="20"/>
        <v>1</v>
      </c>
      <c r="Z272" t="str" cm="1">
        <f t="array" ref="Z272">_xlfn.IFS(Y272&lt;0, "Invalid Date", ISBLANK(G272), "Missing Region", TRUE, "Clean")</f>
        <v>Clean</v>
      </c>
    </row>
    <row r="273" spans="1:26">
      <c r="A273" t="s">
        <v>660</v>
      </c>
      <c r="B273" s="4">
        <v>45647</v>
      </c>
      <c r="C273" s="6">
        <v>45651</v>
      </c>
      <c r="D273" t="s">
        <v>2218</v>
      </c>
      <c r="E273" t="s">
        <v>80</v>
      </c>
      <c r="F273" t="s">
        <v>23</v>
      </c>
      <c r="G273" t="s">
        <v>50</v>
      </c>
      <c r="H273" t="s">
        <v>51</v>
      </c>
      <c r="I273" t="s">
        <v>52</v>
      </c>
      <c r="J273" t="s">
        <v>27</v>
      </c>
      <c r="K273" t="s">
        <v>130</v>
      </c>
      <c r="L273" t="s">
        <v>661</v>
      </c>
      <c r="M273" t="s">
        <v>55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132</v>
      </c>
      <c r="U273" t="s">
        <v>63</v>
      </c>
      <c r="V273">
        <f t="shared" si="17"/>
        <v>11674.25</v>
      </c>
      <c r="W273">
        <f t="shared" si="18"/>
        <v>2053.0599999999995</v>
      </c>
      <c r="X273">
        <f t="shared" si="19"/>
        <v>17.586226095894808</v>
      </c>
      <c r="Y273">
        <f t="shared" si="20"/>
        <v>4</v>
      </c>
      <c r="Z273" t="str" cm="1">
        <f t="array" ref="Z273">_xlfn.IFS(Y273&lt;0, "Invalid Date", ISBLANK(G273), "Missing Region", TRUE, "Clean")</f>
        <v>Clean</v>
      </c>
    </row>
    <row r="274" spans="1:26">
      <c r="A274" t="s">
        <v>662</v>
      </c>
      <c r="B274" s="4">
        <v>45522</v>
      </c>
      <c r="C274" s="6">
        <v>45528</v>
      </c>
      <c r="D274" t="s">
        <v>2219</v>
      </c>
      <c r="E274" t="s">
        <v>49</v>
      </c>
      <c r="F274" t="s">
        <v>23</v>
      </c>
      <c r="G274" t="s">
        <v>50</v>
      </c>
      <c r="H274" t="s">
        <v>76</v>
      </c>
      <c r="I274" t="s">
        <v>77</v>
      </c>
      <c r="J274" t="s">
        <v>39</v>
      </c>
      <c r="K274" t="s">
        <v>61</v>
      </c>
      <c r="L274" t="s">
        <v>663</v>
      </c>
      <c r="M274" t="s">
        <v>47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31</v>
      </c>
      <c r="U274" t="s">
        <v>32</v>
      </c>
      <c r="V274">
        <f t="shared" si="17"/>
        <v>3510.4230000000002</v>
      </c>
      <c r="W274">
        <f t="shared" si="18"/>
        <v>1318.9230000000002</v>
      </c>
      <c r="X274">
        <f t="shared" si="19"/>
        <v>37.57162598353532</v>
      </c>
      <c r="Y274">
        <f t="shared" si="20"/>
        <v>6</v>
      </c>
      <c r="Z274" t="str" cm="1">
        <f t="array" ref="Z274">_xlfn.IFS(Y274&lt;0, "Invalid Date", ISBLANK(G274), "Missing Region", TRUE, "Clean")</f>
        <v>Clean</v>
      </c>
    </row>
    <row r="275" spans="1:26">
      <c r="A275" t="s">
        <v>664</v>
      </c>
      <c r="B275" s="4">
        <v>45701</v>
      </c>
      <c r="C275" s="6">
        <v>45701</v>
      </c>
      <c r="D275" t="s">
        <v>2220</v>
      </c>
      <c r="E275" t="s">
        <v>44</v>
      </c>
      <c r="F275" t="s">
        <v>23</v>
      </c>
      <c r="G275" t="s">
        <v>36</v>
      </c>
      <c r="H275" t="s">
        <v>124</v>
      </c>
      <c r="I275" t="s">
        <v>125</v>
      </c>
      <c r="J275" t="s">
        <v>27</v>
      </c>
      <c r="K275" t="s">
        <v>28</v>
      </c>
      <c r="L275" t="s">
        <v>665</v>
      </c>
      <c r="M275" t="s">
        <v>30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31</v>
      </c>
      <c r="U275" t="s">
        <v>92</v>
      </c>
      <c r="V275">
        <f t="shared" si="17"/>
        <v>22694.670000000002</v>
      </c>
      <c r="W275">
        <f t="shared" si="18"/>
        <v>7289.3100000000013</v>
      </c>
      <c r="X275">
        <f t="shared" si="19"/>
        <v>32.119039404406415</v>
      </c>
      <c r="Y275">
        <f t="shared" si="20"/>
        <v>0</v>
      </c>
      <c r="Z275" t="str" cm="1">
        <f t="array" ref="Z275">_xlfn.IFS(Y275&lt;0, "Invalid Date", ISBLANK(G275), "Missing Region", TRUE, "Clean")</f>
        <v>Clean</v>
      </c>
    </row>
    <row r="276" spans="1:26">
      <c r="A276" t="s">
        <v>666</v>
      </c>
      <c r="B276" s="4">
        <v>45477</v>
      </c>
      <c r="C276" s="6">
        <v>45396</v>
      </c>
      <c r="D276" t="s">
        <v>2221</v>
      </c>
      <c r="E276" t="s">
        <v>121</v>
      </c>
      <c r="F276" t="s">
        <v>23</v>
      </c>
      <c r="G276" t="s">
        <v>50</v>
      </c>
      <c r="H276" t="s">
        <v>155</v>
      </c>
      <c r="I276" t="s">
        <v>156</v>
      </c>
      <c r="J276" t="s">
        <v>68</v>
      </c>
      <c r="K276" t="s">
        <v>73</v>
      </c>
      <c r="L276" t="s">
        <v>667</v>
      </c>
      <c r="M276" t="s">
        <v>55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132</v>
      </c>
      <c r="U276" t="s">
        <v>92</v>
      </c>
      <c r="V276">
        <f t="shared" si="17"/>
        <v>21658.221000000001</v>
      </c>
      <c r="W276">
        <f t="shared" si="18"/>
        <v>6167.5310000000009</v>
      </c>
      <c r="X276">
        <f t="shared" si="19"/>
        <v>28.476627881856043</v>
      </c>
      <c r="Y276">
        <f t="shared" si="20"/>
        <v>-81</v>
      </c>
      <c r="Z276" t="str" cm="1">
        <f t="array" ref="Z276">_xlfn.IFS(Y276&lt;0, "Invalid Date", ISBLANK(G276), "Missing Region", TRUE, "Clean")</f>
        <v>Invalid Date</v>
      </c>
    </row>
    <row r="277" spans="1:26">
      <c r="A277" t="s">
        <v>668</v>
      </c>
      <c r="B277" s="4">
        <v>45337</v>
      </c>
      <c r="C277" s="6">
        <v>45344</v>
      </c>
      <c r="D277" t="s">
        <v>2222</v>
      </c>
      <c r="E277" t="s">
        <v>100</v>
      </c>
      <c r="F277" t="s">
        <v>35</v>
      </c>
      <c r="G277" t="s">
        <v>36</v>
      </c>
      <c r="H277" t="s">
        <v>88</v>
      </c>
      <c r="I277" t="s">
        <v>89</v>
      </c>
      <c r="J277" t="s">
        <v>39</v>
      </c>
      <c r="K277" t="s">
        <v>53</v>
      </c>
      <c r="L277" t="s">
        <v>669</v>
      </c>
      <c r="M277" t="s">
        <v>42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31</v>
      </c>
      <c r="U277" t="s">
        <v>32</v>
      </c>
      <c r="V277">
        <f t="shared" si="17"/>
        <v>980.51</v>
      </c>
      <c r="W277">
        <f t="shared" si="18"/>
        <v>319.59000000000003</v>
      </c>
      <c r="X277">
        <f t="shared" si="19"/>
        <v>32.594262169687205</v>
      </c>
      <c r="Y277">
        <f t="shared" si="20"/>
        <v>7</v>
      </c>
      <c r="Z277" t="str" cm="1">
        <f t="array" ref="Z277">_xlfn.IFS(Y277&lt;0, "Invalid Date", ISBLANK(G277), "Missing Region", TRUE, "Clean")</f>
        <v>Clean</v>
      </c>
    </row>
    <row r="278" spans="1:26">
      <c r="A278" t="s">
        <v>670</v>
      </c>
      <c r="B278" s="4">
        <v>45313</v>
      </c>
      <c r="C278" s="6">
        <v>45314</v>
      </c>
      <c r="D278" t="s">
        <v>2174</v>
      </c>
      <c r="E278" t="s">
        <v>111</v>
      </c>
      <c r="F278" t="s">
        <v>35</v>
      </c>
      <c r="G278" t="s">
        <v>2806</v>
      </c>
      <c r="H278" t="s">
        <v>140</v>
      </c>
      <c r="I278" t="s">
        <v>141</v>
      </c>
      <c r="J278" t="s">
        <v>39</v>
      </c>
      <c r="K278" t="s">
        <v>61</v>
      </c>
      <c r="L278" t="s">
        <v>671</v>
      </c>
      <c r="M278" t="s">
        <v>30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31</v>
      </c>
      <c r="U278" t="s">
        <v>32</v>
      </c>
      <c r="V278">
        <f t="shared" si="17"/>
        <v>23198.065200000005</v>
      </c>
      <c r="W278">
        <f t="shared" si="18"/>
        <v>14784.535200000004</v>
      </c>
      <c r="X278">
        <f t="shared" si="19"/>
        <v>63.731759836591891</v>
      </c>
      <c r="Y278">
        <f t="shared" si="20"/>
        <v>1</v>
      </c>
      <c r="Z278" t="str" cm="1">
        <f t="array" ref="Z278">_xlfn.IFS(Y278&lt;0, "Invalid Date", ISBLANK(G278), "Missing Region", TRUE, "Clean")</f>
        <v>Clean</v>
      </c>
    </row>
    <row r="279" spans="1:26">
      <c r="A279" t="s">
        <v>672</v>
      </c>
      <c r="B279" s="4">
        <v>45753</v>
      </c>
      <c r="C279" s="6">
        <v>45753</v>
      </c>
      <c r="D279" t="s">
        <v>2223</v>
      </c>
      <c r="E279" t="s">
        <v>44</v>
      </c>
      <c r="F279" t="s">
        <v>81</v>
      </c>
      <c r="G279" t="s">
        <v>24</v>
      </c>
      <c r="H279" t="s">
        <v>192</v>
      </c>
      <c r="I279" t="s">
        <v>193</v>
      </c>
      <c r="J279" t="s">
        <v>68</v>
      </c>
      <c r="K279" t="s">
        <v>69</v>
      </c>
      <c r="L279" t="s">
        <v>673</v>
      </c>
      <c r="M279" t="s">
        <v>30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98</v>
      </c>
      <c r="U279" t="s">
        <v>63</v>
      </c>
      <c r="V279">
        <f t="shared" si="17"/>
        <v>1813.6704999999999</v>
      </c>
      <c r="W279">
        <f t="shared" si="18"/>
        <v>811.1004999999999</v>
      </c>
      <c r="X279">
        <f t="shared" si="19"/>
        <v>44.721491582952908</v>
      </c>
      <c r="Y279">
        <f t="shared" si="20"/>
        <v>0</v>
      </c>
      <c r="Z279" t="str" cm="1">
        <f t="array" ref="Z279">_xlfn.IFS(Y279&lt;0, "Invalid Date", ISBLANK(G279), "Missing Region", TRUE, "Clean")</f>
        <v>Clean</v>
      </c>
    </row>
    <row r="280" spans="1:26">
      <c r="A280" t="s">
        <v>674</v>
      </c>
      <c r="B280" s="4">
        <v>45841</v>
      </c>
      <c r="C280" s="6">
        <v>45730</v>
      </c>
      <c r="D280" t="s">
        <v>2224</v>
      </c>
      <c r="E280" t="s">
        <v>100</v>
      </c>
      <c r="F280" t="s">
        <v>35</v>
      </c>
      <c r="G280" t="s">
        <v>24</v>
      </c>
      <c r="H280" t="s">
        <v>270</v>
      </c>
      <c r="I280" t="s">
        <v>271</v>
      </c>
      <c r="J280" t="s">
        <v>68</v>
      </c>
      <c r="K280" t="s">
        <v>69</v>
      </c>
      <c r="L280" t="s">
        <v>675</v>
      </c>
      <c r="M280" t="s">
        <v>42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31</v>
      </c>
      <c r="U280" t="s">
        <v>92</v>
      </c>
      <c r="V280">
        <f t="shared" si="17"/>
        <v>3780.6579999999999</v>
      </c>
      <c r="W280">
        <f t="shared" si="18"/>
        <v>1632.348</v>
      </c>
      <c r="X280">
        <f t="shared" si="19"/>
        <v>43.176293650470363</v>
      </c>
      <c r="Y280">
        <f t="shared" si="20"/>
        <v>-111</v>
      </c>
      <c r="Z280" t="str" cm="1">
        <f t="array" ref="Z280">_xlfn.IFS(Y280&lt;0, "Invalid Date", ISBLANK(G280), "Missing Region", TRUE, "Clean")</f>
        <v>Invalid Date</v>
      </c>
    </row>
    <row r="281" spans="1:26">
      <c r="A281" t="s">
        <v>676</v>
      </c>
      <c r="B281" s="4">
        <v>45391</v>
      </c>
      <c r="C281" s="6">
        <v>45569</v>
      </c>
      <c r="D281" t="s">
        <v>2225</v>
      </c>
      <c r="E281" t="s">
        <v>121</v>
      </c>
      <c r="F281" t="s">
        <v>35</v>
      </c>
      <c r="G281" t="s">
        <v>58</v>
      </c>
      <c r="H281" t="s">
        <v>59</v>
      </c>
      <c r="I281" t="s">
        <v>60</v>
      </c>
      <c r="J281" t="s">
        <v>27</v>
      </c>
      <c r="K281" t="s">
        <v>108</v>
      </c>
      <c r="L281" t="s">
        <v>677</v>
      </c>
      <c r="M281" t="s">
        <v>47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31</v>
      </c>
      <c r="U281" t="s">
        <v>32</v>
      </c>
      <c r="V281">
        <f t="shared" si="17"/>
        <v>4141.1639999999998</v>
      </c>
      <c r="W281">
        <f t="shared" si="18"/>
        <v>1386.9939999999997</v>
      </c>
      <c r="X281">
        <f t="shared" si="19"/>
        <v>33.492853700070796</v>
      </c>
      <c r="Y281">
        <f t="shared" si="20"/>
        <v>178</v>
      </c>
      <c r="Z281" t="str" cm="1">
        <f t="array" ref="Z281">_xlfn.IFS(Y281&lt;0, "Invalid Date", ISBLANK(G281), "Missing Region", TRUE, "Clean")</f>
        <v>Clean</v>
      </c>
    </row>
    <row r="282" spans="1:26">
      <c r="A282" t="s">
        <v>678</v>
      </c>
      <c r="B282" s="4">
        <v>45649</v>
      </c>
      <c r="C282" s="6">
        <v>45652</v>
      </c>
      <c r="D282" t="s">
        <v>2226</v>
      </c>
      <c r="E282" t="s">
        <v>80</v>
      </c>
      <c r="F282" t="s">
        <v>23</v>
      </c>
      <c r="G282" t="s">
        <v>50</v>
      </c>
      <c r="H282" t="s">
        <v>147</v>
      </c>
      <c r="I282" t="s">
        <v>148</v>
      </c>
      <c r="J282" t="s">
        <v>68</v>
      </c>
      <c r="K282" t="s">
        <v>73</v>
      </c>
      <c r="L282" t="s">
        <v>679</v>
      </c>
      <c r="M282" t="s">
        <v>55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31</v>
      </c>
      <c r="U282" t="s">
        <v>32</v>
      </c>
      <c r="V282">
        <f t="shared" si="17"/>
        <v>8943.0299999999988</v>
      </c>
      <c r="W282">
        <f t="shared" si="18"/>
        <v>3777.6499999999987</v>
      </c>
      <c r="X282">
        <f t="shared" si="19"/>
        <v>42.241276167026157</v>
      </c>
      <c r="Y282">
        <f t="shared" si="20"/>
        <v>3</v>
      </c>
      <c r="Z282" t="str" cm="1">
        <f t="array" ref="Z282">_xlfn.IFS(Y282&lt;0, "Invalid Date", ISBLANK(G282), "Missing Region", TRUE, "Clean")</f>
        <v>Clean</v>
      </c>
    </row>
    <row r="283" spans="1:26">
      <c r="A283" t="s">
        <v>680</v>
      </c>
      <c r="B283" s="4">
        <v>45863</v>
      </c>
      <c r="C283" s="6">
        <v>45865</v>
      </c>
      <c r="D283" t="s">
        <v>2227</v>
      </c>
      <c r="E283" t="s">
        <v>212</v>
      </c>
      <c r="F283" t="s">
        <v>23</v>
      </c>
      <c r="G283" t="s">
        <v>36</v>
      </c>
      <c r="H283" t="s">
        <v>186</v>
      </c>
      <c r="I283" t="s">
        <v>187</v>
      </c>
      <c r="J283" t="s">
        <v>27</v>
      </c>
      <c r="K283" t="s">
        <v>130</v>
      </c>
      <c r="L283" t="s">
        <v>681</v>
      </c>
      <c r="M283" t="s">
        <v>30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31</v>
      </c>
      <c r="U283" t="s">
        <v>32</v>
      </c>
      <c r="V283">
        <f t="shared" si="17"/>
        <v>16504.223999999998</v>
      </c>
      <c r="W283">
        <f t="shared" si="18"/>
        <v>5241.5139999999992</v>
      </c>
      <c r="X283">
        <f t="shared" si="19"/>
        <v>31.75862130809664</v>
      </c>
      <c r="Y283">
        <f t="shared" si="20"/>
        <v>2</v>
      </c>
      <c r="Z283" t="str" cm="1">
        <f t="array" ref="Z283">_xlfn.IFS(Y283&lt;0, "Invalid Date", ISBLANK(G283), "Missing Region", TRUE, "Clean")</f>
        <v>Clean</v>
      </c>
    </row>
    <row r="284" spans="1:26">
      <c r="A284" t="s">
        <v>682</v>
      </c>
      <c r="B284" s="4">
        <v>45301</v>
      </c>
      <c r="C284" s="6">
        <v>45567</v>
      </c>
      <c r="D284" t="s">
        <v>2228</v>
      </c>
      <c r="E284" t="s">
        <v>22</v>
      </c>
      <c r="F284" t="s">
        <v>85</v>
      </c>
      <c r="G284" t="s">
        <v>36</v>
      </c>
      <c r="H284" t="s">
        <v>140</v>
      </c>
      <c r="I284" t="s">
        <v>141</v>
      </c>
      <c r="J284" t="s">
        <v>39</v>
      </c>
      <c r="K284" t="s">
        <v>40</v>
      </c>
      <c r="L284" t="s">
        <v>683</v>
      </c>
      <c r="M284" t="s">
        <v>30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31</v>
      </c>
      <c r="U284" t="s">
        <v>32</v>
      </c>
      <c r="V284">
        <f t="shared" si="17"/>
        <v>4596</v>
      </c>
      <c r="W284">
        <f t="shared" si="18"/>
        <v>1375.67</v>
      </c>
      <c r="X284">
        <f t="shared" si="19"/>
        <v>29.931897302001744</v>
      </c>
      <c r="Y284">
        <f t="shared" si="20"/>
        <v>266</v>
      </c>
      <c r="Z284" t="str" cm="1">
        <f t="array" ref="Z284">_xlfn.IFS(Y284&lt;0, "Invalid Date", ISBLANK(G284), "Missing Region", TRUE, "Clean")</f>
        <v>Clean</v>
      </c>
    </row>
    <row r="285" spans="1:26">
      <c r="A285" t="s">
        <v>684</v>
      </c>
      <c r="B285" s="4">
        <v>45729</v>
      </c>
      <c r="C285" s="6">
        <v>45736</v>
      </c>
      <c r="D285" t="s">
        <v>2229</v>
      </c>
      <c r="E285" t="s">
        <v>65</v>
      </c>
      <c r="F285" t="s">
        <v>23</v>
      </c>
      <c r="G285" t="s">
        <v>58</v>
      </c>
      <c r="H285" t="s">
        <v>59</v>
      </c>
      <c r="I285" t="s">
        <v>60</v>
      </c>
      <c r="J285" t="s">
        <v>39</v>
      </c>
      <c r="K285" t="s">
        <v>53</v>
      </c>
      <c r="L285" t="s">
        <v>685</v>
      </c>
      <c r="M285" t="s">
        <v>47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31</v>
      </c>
      <c r="U285" t="s">
        <v>32</v>
      </c>
      <c r="V285">
        <f t="shared" si="17"/>
        <v>1814.01</v>
      </c>
      <c r="W285">
        <f t="shared" si="18"/>
        <v>780.54</v>
      </c>
      <c r="X285">
        <f t="shared" si="19"/>
        <v>43.028428729720339</v>
      </c>
      <c r="Y285">
        <f t="shared" si="20"/>
        <v>7</v>
      </c>
      <c r="Z285" t="str" cm="1">
        <f t="array" ref="Z285">_xlfn.IFS(Y285&lt;0, "Invalid Date", ISBLANK(G285), "Missing Region", TRUE, "Clean")</f>
        <v>Clean</v>
      </c>
    </row>
    <row r="286" spans="1:26">
      <c r="A286" t="s">
        <v>686</v>
      </c>
      <c r="B286" s="4">
        <v>45634</v>
      </c>
      <c r="C286" s="6">
        <v>45640</v>
      </c>
      <c r="D286" t="s">
        <v>2230</v>
      </c>
      <c r="E286" t="s">
        <v>22</v>
      </c>
      <c r="F286" t="s">
        <v>23</v>
      </c>
      <c r="G286" t="s">
        <v>36</v>
      </c>
      <c r="H286" t="s">
        <v>37</v>
      </c>
      <c r="I286" t="s">
        <v>38</v>
      </c>
      <c r="J286" t="s">
        <v>39</v>
      </c>
      <c r="K286" t="s">
        <v>40</v>
      </c>
      <c r="L286" t="s">
        <v>687</v>
      </c>
      <c r="M286" t="s">
        <v>42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31</v>
      </c>
      <c r="U286" t="s">
        <v>92</v>
      </c>
      <c r="V286">
        <f t="shared" si="17"/>
        <v>4730.76</v>
      </c>
      <c r="W286">
        <f t="shared" si="18"/>
        <v>1591.0300000000002</v>
      </c>
      <c r="X286">
        <f t="shared" si="19"/>
        <v>33.631594077907145</v>
      </c>
      <c r="Y286">
        <f t="shared" si="20"/>
        <v>6</v>
      </c>
      <c r="Z286" t="str" cm="1">
        <f t="array" ref="Z286">_xlfn.IFS(Y286&lt;0, "Invalid Date", ISBLANK(G286), "Missing Region", TRUE, "Clean")</f>
        <v>Clean</v>
      </c>
    </row>
    <row r="287" spans="1:26">
      <c r="A287" t="s">
        <v>688</v>
      </c>
      <c r="B287" s="4">
        <v>45884</v>
      </c>
      <c r="C287" s="6">
        <v>45889</v>
      </c>
      <c r="D287" t="s">
        <v>2231</v>
      </c>
      <c r="E287" t="s">
        <v>72</v>
      </c>
      <c r="F287" t="s">
        <v>85</v>
      </c>
      <c r="G287" t="s">
        <v>24</v>
      </c>
      <c r="H287" t="s">
        <v>25</v>
      </c>
      <c r="I287" t="s">
        <v>26</v>
      </c>
      <c r="J287" t="s">
        <v>27</v>
      </c>
      <c r="K287" t="s">
        <v>108</v>
      </c>
      <c r="L287" t="s">
        <v>689</v>
      </c>
      <c r="M287" t="s">
        <v>55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31</v>
      </c>
      <c r="U287" t="s">
        <v>32</v>
      </c>
      <c r="V287">
        <f t="shared" si="17"/>
        <v>36735.93</v>
      </c>
      <c r="W287">
        <f t="shared" si="18"/>
        <v>5915.09</v>
      </c>
      <c r="X287">
        <f t="shared" si="19"/>
        <v>16.101647624001895</v>
      </c>
      <c r="Y287">
        <f t="shared" si="20"/>
        <v>5</v>
      </c>
      <c r="Z287" t="str" cm="1">
        <f t="array" ref="Z287">_xlfn.IFS(Y287&lt;0, "Invalid Date", ISBLANK(G287), "Missing Region", TRUE, "Clean")</f>
        <v>Clean</v>
      </c>
    </row>
    <row r="288" spans="1:26">
      <c r="A288" t="s">
        <v>690</v>
      </c>
      <c r="B288" s="4">
        <v>45350</v>
      </c>
      <c r="C288" s="6">
        <v>45353</v>
      </c>
      <c r="D288" t="s">
        <v>2232</v>
      </c>
      <c r="E288" t="s">
        <v>100</v>
      </c>
      <c r="F288" t="s">
        <v>35</v>
      </c>
      <c r="G288" t="s">
        <v>24</v>
      </c>
      <c r="H288" t="s">
        <v>270</v>
      </c>
      <c r="I288" t="s">
        <v>271</v>
      </c>
      <c r="J288" t="s">
        <v>39</v>
      </c>
      <c r="K288" t="s">
        <v>53</v>
      </c>
      <c r="L288" t="s">
        <v>691</v>
      </c>
      <c r="M288" t="s">
        <v>47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98</v>
      </c>
      <c r="U288" t="s">
        <v>92</v>
      </c>
      <c r="V288">
        <f t="shared" si="17"/>
        <v>4421.3399999999992</v>
      </c>
      <c r="W288">
        <f t="shared" si="18"/>
        <v>1931.3599999999992</v>
      </c>
      <c r="X288">
        <f t="shared" si="19"/>
        <v>43.682684435035526</v>
      </c>
      <c r="Y288">
        <f t="shared" si="20"/>
        <v>3</v>
      </c>
      <c r="Z288" t="str" cm="1">
        <f t="array" ref="Z288">_xlfn.IFS(Y288&lt;0, "Invalid Date", ISBLANK(G288), "Missing Region", TRUE, "Clean")</f>
        <v>Clean</v>
      </c>
    </row>
    <row r="289" spans="1:26">
      <c r="A289" t="s">
        <v>692</v>
      </c>
      <c r="B289" s="4">
        <v>45540</v>
      </c>
      <c r="C289" s="6">
        <v>45482</v>
      </c>
      <c r="D289" t="s">
        <v>2233</v>
      </c>
      <c r="E289" t="s">
        <v>72</v>
      </c>
      <c r="F289" t="s">
        <v>35</v>
      </c>
      <c r="G289" t="s">
        <v>50</v>
      </c>
      <c r="H289" t="s">
        <v>200</v>
      </c>
      <c r="I289" t="s">
        <v>201</v>
      </c>
      <c r="J289" t="s">
        <v>68</v>
      </c>
      <c r="K289" t="s">
        <v>73</v>
      </c>
      <c r="L289" t="s">
        <v>693</v>
      </c>
      <c r="M289" t="s">
        <v>55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31</v>
      </c>
      <c r="U289" t="s">
        <v>63</v>
      </c>
      <c r="V289">
        <f t="shared" si="17"/>
        <v>6516.9329999999991</v>
      </c>
      <c r="W289">
        <f t="shared" si="18"/>
        <v>2005.3929999999991</v>
      </c>
      <c r="X289">
        <f t="shared" si="19"/>
        <v>30.772036477895341</v>
      </c>
      <c r="Y289">
        <f t="shared" si="20"/>
        <v>-58</v>
      </c>
      <c r="Z289" t="str" cm="1">
        <f t="array" ref="Z289">_xlfn.IFS(Y289&lt;0, "Invalid Date", ISBLANK(G289), "Missing Region", TRUE, "Clean")</f>
        <v>Invalid Date</v>
      </c>
    </row>
    <row r="290" spans="1:26">
      <c r="A290" t="s">
        <v>694</v>
      </c>
      <c r="B290" s="4">
        <v>45467</v>
      </c>
      <c r="C290" s="6">
        <v>45467</v>
      </c>
      <c r="D290" t="s">
        <v>2234</v>
      </c>
      <c r="E290" t="s">
        <v>121</v>
      </c>
      <c r="F290" t="s">
        <v>35</v>
      </c>
      <c r="G290" t="s">
        <v>36</v>
      </c>
      <c r="H290" t="s">
        <v>124</v>
      </c>
      <c r="I290" t="s">
        <v>125</v>
      </c>
      <c r="J290" t="s">
        <v>27</v>
      </c>
      <c r="K290" t="s">
        <v>130</v>
      </c>
      <c r="L290" t="s">
        <v>695</v>
      </c>
      <c r="M290" t="s">
        <v>42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31</v>
      </c>
      <c r="U290" t="s">
        <v>32</v>
      </c>
      <c r="V290">
        <f t="shared" si="17"/>
        <v>7411.829999999999</v>
      </c>
      <c r="W290">
        <f t="shared" si="18"/>
        <v>2507.1999999999989</v>
      </c>
      <c r="X290">
        <f t="shared" si="19"/>
        <v>33.827003587508067</v>
      </c>
      <c r="Y290">
        <f t="shared" si="20"/>
        <v>0</v>
      </c>
      <c r="Z290" t="str" cm="1">
        <f t="array" ref="Z290">_xlfn.IFS(Y290&lt;0, "Invalid Date", ISBLANK(G290), "Missing Region", TRUE, "Clean")</f>
        <v>Clean</v>
      </c>
    </row>
    <row r="291" spans="1:26">
      <c r="A291" t="s">
        <v>696</v>
      </c>
      <c r="B291" s="4">
        <v>45827</v>
      </c>
      <c r="C291" s="6">
        <v>45835</v>
      </c>
      <c r="D291" t="s">
        <v>2235</v>
      </c>
      <c r="E291" t="s">
        <v>22</v>
      </c>
      <c r="F291" t="s">
        <v>85</v>
      </c>
      <c r="G291" t="s">
        <v>50</v>
      </c>
      <c r="H291" t="s">
        <v>200</v>
      </c>
      <c r="I291" t="s">
        <v>201</v>
      </c>
      <c r="J291" t="s">
        <v>39</v>
      </c>
      <c r="K291" t="s">
        <v>134</v>
      </c>
      <c r="L291" t="s">
        <v>697</v>
      </c>
      <c r="M291" t="s">
        <v>47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31</v>
      </c>
      <c r="U291" t="s">
        <v>32</v>
      </c>
      <c r="V291">
        <f t="shared" si="17"/>
        <v>8258.7109999999993</v>
      </c>
      <c r="W291">
        <f t="shared" si="18"/>
        <v>1239.7409999999991</v>
      </c>
      <c r="X291">
        <f t="shared" si="19"/>
        <v>15.011313508851432</v>
      </c>
      <c r="Y291">
        <f t="shared" si="20"/>
        <v>8</v>
      </c>
      <c r="Z291" t="str" cm="1">
        <f t="array" ref="Z291">_xlfn.IFS(Y291&lt;0, "Invalid Date", ISBLANK(G291), "Missing Region", TRUE, "Clean")</f>
        <v>Clean</v>
      </c>
    </row>
    <row r="292" spans="1:26">
      <c r="A292" t="s">
        <v>698</v>
      </c>
      <c r="B292" s="4">
        <v>45891</v>
      </c>
      <c r="C292" s="6">
        <v>45895</v>
      </c>
      <c r="D292" t="s">
        <v>2236</v>
      </c>
      <c r="E292" t="s">
        <v>137</v>
      </c>
      <c r="F292" t="s">
        <v>85</v>
      </c>
      <c r="G292" t="s">
        <v>36</v>
      </c>
      <c r="H292" t="s">
        <v>186</v>
      </c>
      <c r="I292" t="s">
        <v>187</v>
      </c>
      <c r="J292" t="s">
        <v>39</v>
      </c>
      <c r="K292" t="s">
        <v>40</v>
      </c>
      <c r="L292" t="s">
        <v>699</v>
      </c>
      <c r="M292" t="s">
        <v>55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31</v>
      </c>
      <c r="U292" t="s">
        <v>32</v>
      </c>
      <c r="V292">
        <f t="shared" si="17"/>
        <v>1658.3670000000002</v>
      </c>
      <c r="W292">
        <f t="shared" si="18"/>
        <v>687.24700000000018</v>
      </c>
      <c r="X292">
        <f t="shared" si="19"/>
        <v>41.441188832146331</v>
      </c>
      <c r="Y292">
        <f t="shared" si="20"/>
        <v>4</v>
      </c>
      <c r="Z292" t="str" cm="1">
        <f t="array" ref="Z292">_xlfn.IFS(Y292&lt;0, "Invalid Date", ISBLANK(G292), "Missing Region", TRUE, "Clean")</f>
        <v>Clean</v>
      </c>
    </row>
    <row r="293" spans="1:26">
      <c r="A293" t="s">
        <v>700</v>
      </c>
      <c r="B293" s="4">
        <v>45387</v>
      </c>
      <c r="C293" s="6">
        <v>45569</v>
      </c>
      <c r="D293" t="s">
        <v>2237</v>
      </c>
      <c r="E293" t="s">
        <v>100</v>
      </c>
      <c r="F293" t="s">
        <v>85</v>
      </c>
      <c r="G293" t="s">
        <v>24</v>
      </c>
      <c r="H293" t="s">
        <v>25</v>
      </c>
      <c r="I293" t="s">
        <v>26</v>
      </c>
      <c r="J293" t="s">
        <v>27</v>
      </c>
      <c r="K293" t="s">
        <v>130</v>
      </c>
      <c r="L293" t="s">
        <v>701</v>
      </c>
      <c r="M293" t="s">
        <v>55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31</v>
      </c>
      <c r="U293" t="s">
        <v>32</v>
      </c>
      <c r="V293">
        <f t="shared" si="17"/>
        <v>9685.98</v>
      </c>
      <c r="W293">
        <f t="shared" si="18"/>
        <v>1955.9399999999996</v>
      </c>
      <c r="X293">
        <f t="shared" si="19"/>
        <v>20.193516815025426</v>
      </c>
      <c r="Y293">
        <f t="shared" si="20"/>
        <v>182</v>
      </c>
      <c r="Z293" t="str" cm="1">
        <f t="array" ref="Z293">_xlfn.IFS(Y293&lt;0, "Invalid Date", ISBLANK(G293), "Missing Region", TRUE, "Clean")</f>
        <v>Clean</v>
      </c>
    </row>
    <row r="294" spans="1:26">
      <c r="A294" t="s">
        <v>702</v>
      </c>
      <c r="B294" s="4">
        <v>45716</v>
      </c>
      <c r="C294" s="6">
        <v>45719</v>
      </c>
      <c r="D294" t="s">
        <v>2238</v>
      </c>
      <c r="E294" t="s">
        <v>212</v>
      </c>
      <c r="F294" t="s">
        <v>85</v>
      </c>
      <c r="G294" t="s">
        <v>24</v>
      </c>
      <c r="H294" t="s">
        <v>192</v>
      </c>
      <c r="I294" t="s">
        <v>193</v>
      </c>
      <c r="J294" t="s">
        <v>27</v>
      </c>
      <c r="K294" t="s">
        <v>45</v>
      </c>
      <c r="L294" t="s">
        <v>703</v>
      </c>
      <c r="M294" t="s">
        <v>42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98</v>
      </c>
      <c r="U294" t="s">
        <v>63</v>
      </c>
      <c r="V294">
        <f t="shared" si="17"/>
        <v>33740.549999999996</v>
      </c>
      <c r="W294">
        <f t="shared" si="18"/>
        <v>9118.6599999999962</v>
      </c>
      <c r="X294">
        <f t="shared" si="19"/>
        <v>27.02581908119458</v>
      </c>
      <c r="Y294">
        <f t="shared" si="20"/>
        <v>3</v>
      </c>
      <c r="Z294" t="str" cm="1">
        <f t="array" ref="Z294">_xlfn.IFS(Y294&lt;0, "Invalid Date", ISBLANK(G294), "Missing Region", TRUE, "Clean")</f>
        <v>Clean</v>
      </c>
    </row>
    <row r="295" spans="1:26">
      <c r="A295" t="s">
        <v>704</v>
      </c>
      <c r="B295" s="4">
        <v>45358</v>
      </c>
      <c r="C295" s="6">
        <v>45599</v>
      </c>
      <c r="D295" t="s">
        <v>2239</v>
      </c>
      <c r="E295" t="s">
        <v>49</v>
      </c>
      <c r="F295" t="s">
        <v>85</v>
      </c>
      <c r="G295" t="s">
        <v>50</v>
      </c>
      <c r="H295" t="s">
        <v>51</v>
      </c>
      <c r="I295" t="s">
        <v>52</v>
      </c>
      <c r="J295" t="s">
        <v>68</v>
      </c>
      <c r="K295" t="s">
        <v>144</v>
      </c>
      <c r="L295" t="s">
        <v>705</v>
      </c>
      <c r="M295" t="s">
        <v>47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31</v>
      </c>
      <c r="U295" t="s">
        <v>32</v>
      </c>
      <c r="V295">
        <f t="shared" si="17"/>
        <v>3081.0569999999998</v>
      </c>
      <c r="W295">
        <f t="shared" si="18"/>
        <v>-3459.9830000000002</v>
      </c>
      <c r="X295">
        <f t="shared" si="19"/>
        <v>-112.29857156164267</v>
      </c>
      <c r="Y295">
        <f t="shared" si="20"/>
        <v>241</v>
      </c>
      <c r="Z295" t="str" cm="1">
        <f t="array" ref="Z295">_xlfn.IFS(Y295&lt;0, "Invalid Date", ISBLANK(G295), "Missing Region", TRUE, "Clean")</f>
        <v>Clean</v>
      </c>
    </row>
    <row r="296" spans="1:26">
      <c r="A296" t="s">
        <v>706</v>
      </c>
      <c r="B296" s="4">
        <v>45854</v>
      </c>
      <c r="C296" s="6">
        <v>45860</v>
      </c>
      <c r="D296" t="s">
        <v>2240</v>
      </c>
      <c r="E296" t="s">
        <v>100</v>
      </c>
      <c r="F296" t="s">
        <v>23</v>
      </c>
      <c r="G296" t="s">
        <v>36</v>
      </c>
      <c r="H296" t="s">
        <v>37</v>
      </c>
      <c r="I296" t="s">
        <v>38</v>
      </c>
      <c r="J296" t="s">
        <v>68</v>
      </c>
      <c r="K296" t="s">
        <v>144</v>
      </c>
      <c r="L296" t="s">
        <v>707</v>
      </c>
      <c r="M296" t="s">
        <v>30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31</v>
      </c>
      <c r="U296" t="s">
        <v>92</v>
      </c>
      <c r="V296">
        <f t="shared" si="17"/>
        <v>18716.985000000001</v>
      </c>
      <c r="W296">
        <f t="shared" si="18"/>
        <v>6434.5550000000003</v>
      </c>
      <c r="X296">
        <f t="shared" si="19"/>
        <v>34.378159730319815</v>
      </c>
      <c r="Y296">
        <f t="shared" si="20"/>
        <v>6</v>
      </c>
      <c r="Z296" t="str" cm="1">
        <f t="array" ref="Z296">_xlfn.IFS(Y296&lt;0, "Invalid Date", ISBLANK(G296), "Missing Region", TRUE, "Clean")</f>
        <v>Clean</v>
      </c>
    </row>
    <row r="297" spans="1:26">
      <c r="A297" t="s">
        <v>708</v>
      </c>
      <c r="B297" s="4">
        <v>45833</v>
      </c>
      <c r="C297" s="6">
        <v>45836</v>
      </c>
      <c r="D297" t="s">
        <v>2241</v>
      </c>
      <c r="E297" t="s">
        <v>80</v>
      </c>
      <c r="F297" t="s">
        <v>35</v>
      </c>
      <c r="G297" t="s">
        <v>36</v>
      </c>
      <c r="H297" t="s">
        <v>140</v>
      </c>
      <c r="I297" t="s">
        <v>141</v>
      </c>
      <c r="J297" t="s">
        <v>27</v>
      </c>
      <c r="K297" t="s">
        <v>130</v>
      </c>
      <c r="L297" t="s">
        <v>709</v>
      </c>
      <c r="M297" t="s">
        <v>55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31</v>
      </c>
      <c r="U297" t="s">
        <v>32</v>
      </c>
      <c r="V297">
        <f t="shared" si="17"/>
        <v>9385.3350000000009</v>
      </c>
      <c r="W297">
        <f t="shared" si="18"/>
        <v>3556.795000000001</v>
      </c>
      <c r="X297">
        <f t="shared" si="19"/>
        <v>37.897368607513748</v>
      </c>
      <c r="Y297">
        <f t="shared" si="20"/>
        <v>3</v>
      </c>
      <c r="Z297" t="str" cm="1">
        <f t="array" ref="Z297">_xlfn.IFS(Y297&lt;0, "Invalid Date", ISBLANK(G297), "Missing Region", TRUE, "Clean")</f>
        <v>Clean</v>
      </c>
    </row>
    <row r="298" spans="1:26">
      <c r="A298" t="s">
        <v>710</v>
      </c>
      <c r="B298" s="4">
        <v>45801</v>
      </c>
      <c r="C298" s="6">
        <v>45803</v>
      </c>
      <c r="D298" t="s">
        <v>2242</v>
      </c>
      <c r="E298" t="s">
        <v>80</v>
      </c>
      <c r="F298" t="s">
        <v>85</v>
      </c>
      <c r="G298" t="s">
        <v>24</v>
      </c>
      <c r="H298" t="s">
        <v>192</v>
      </c>
      <c r="I298" t="s">
        <v>193</v>
      </c>
      <c r="J298" t="s">
        <v>39</v>
      </c>
      <c r="K298" t="s">
        <v>53</v>
      </c>
      <c r="L298" t="s">
        <v>711</v>
      </c>
      <c r="M298" t="s">
        <v>42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31</v>
      </c>
      <c r="U298" t="s">
        <v>32</v>
      </c>
      <c r="V298">
        <f t="shared" si="17"/>
        <v>17826.591</v>
      </c>
      <c r="W298">
        <f t="shared" si="18"/>
        <v>6971.241</v>
      </c>
      <c r="X298">
        <f t="shared" si="19"/>
        <v>39.105855965394618</v>
      </c>
      <c r="Y298">
        <f t="shared" si="20"/>
        <v>2</v>
      </c>
      <c r="Z298" t="str" cm="1">
        <f t="array" ref="Z298">_xlfn.IFS(Y298&lt;0, "Invalid Date", ISBLANK(G298), "Missing Region", TRUE, "Clean")</f>
        <v>Clean</v>
      </c>
    </row>
    <row r="299" spans="1:26">
      <c r="A299" t="s">
        <v>712</v>
      </c>
      <c r="B299" s="4">
        <v>45594</v>
      </c>
      <c r="C299" s="6">
        <v>45454</v>
      </c>
      <c r="D299" t="s">
        <v>2243</v>
      </c>
      <c r="E299" t="s">
        <v>114</v>
      </c>
      <c r="F299" t="s">
        <v>81</v>
      </c>
      <c r="G299" t="s">
        <v>50</v>
      </c>
      <c r="H299" t="s">
        <v>200</v>
      </c>
      <c r="I299" t="s">
        <v>201</v>
      </c>
      <c r="J299" t="s">
        <v>68</v>
      </c>
      <c r="K299" t="s">
        <v>73</v>
      </c>
      <c r="L299" t="s">
        <v>713</v>
      </c>
      <c r="M299" t="s">
        <v>42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31</v>
      </c>
      <c r="U299" t="s">
        <v>32</v>
      </c>
      <c r="V299">
        <f t="shared" si="17"/>
        <v>5966.5920000000006</v>
      </c>
      <c r="W299">
        <f t="shared" si="18"/>
        <v>1971.8720000000008</v>
      </c>
      <c r="X299">
        <f t="shared" si="19"/>
        <v>33.048547646629778</v>
      </c>
      <c r="Y299">
        <f t="shared" si="20"/>
        <v>-140</v>
      </c>
      <c r="Z299" t="str" cm="1">
        <f t="array" ref="Z299">_xlfn.IFS(Y299&lt;0, "Invalid Date", ISBLANK(G299), "Missing Region", TRUE, "Clean")</f>
        <v>Invalid Date</v>
      </c>
    </row>
    <row r="300" spans="1:26">
      <c r="A300" t="s">
        <v>714</v>
      </c>
      <c r="B300" s="4">
        <v>45680</v>
      </c>
      <c r="C300" s="6">
        <v>45683</v>
      </c>
      <c r="D300" t="s">
        <v>2244</v>
      </c>
      <c r="E300" t="s">
        <v>44</v>
      </c>
      <c r="F300" t="s">
        <v>23</v>
      </c>
      <c r="G300" t="s">
        <v>50</v>
      </c>
      <c r="H300" t="s">
        <v>155</v>
      </c>
      <c r="I300" t="s">
        <v>156</v>
      </c>
      <c r="J300" t="s">
        <v>68</v>
      </c>
      <c r="K300" t="s">
        <v>73</v>
      </c>
      <c r="L300" t="s">
        <v>715</v>
      </c>
      <c r="M300" t="s">
        <v>47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132</v>
      </c>
      <c r="U300" t="s">
        <v>92</v>
      </c>
      <c r="V300">
        <f t="shared" si="17"/>
        <v>1951.5440000000003</v>
      </c>
      <c r="W300">
        <f t="shared" si="18"/>
        <v>341.59400000000028</v>
      </c>
      <c r="X300">
        <f t="shared" si="19"/>
        <v>17.503781621116421</v>
      </c>
      <c r="Y300">
        <f t="shared" si="20"/>
        <v>3</v>
      </c>
      <c r="Z300" t="str" cm="1">
        <f t="array" ref="Z300">_xlfn.IFS(Y300&lt;0, "Invalid Date", ISBLANK(G300), "Missing Region", TRUE, "Clean")</f>
        <v>Clean</v>
      </c>
    </row>
    <row r="301" spans="1:26">
      <c r="A301" t="s">
        <v>716</v>
      </c>
      <c r="B301" s="4">
        <v>45454</v>
      </c>
      <c r="C301" s="6">
        <v>45637</v>
      </c>
      <c r="D301" t="s">
        <v>2245</v>
      </c>
      <c r="E301" t="s">
        <v>103</v>
      </c>
      <c r="F301" t="s">
        <v>35</v>
      </c>
      <c r="G301" t="s">
        <v>58</v>
      </c>
      <c r="H301" t="s">
        <v>151</v>
      </c>
      <c r="I301" t="s">
        <v>152</v>
      </c>
      <c r="J301" t="s">
        <v>68</v>
      </c>
      <c r="K301" t="s">
        <v>69</v>
      </c>
      <c r="L301" t="s">
        <v>717</v>
      </c>
      <c r="M301" t="s">
        <v>55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31</v>
      </c>
      <c r="U301" t="s">
        <v>32</v>
      </c>
      <c r="V301">
        <f t="shared" si="17"/>
        <v>10830.015000000001</v>
      </c>
      <c r="W301">
        <f t="shared" si="18"/>
        <v>3774.7050000000008</v>
      </c>
      <c r="X301">
        <f t="shared" si="19"/>
        <v>34.854106850267527</v>
      </c>
      <c r="Y301">
        <f t="shared" si="20"/>
        <v>183</v>
      </c>
      <c r="Z301" t="str" cm="1">
        <f t="array" ref="Z301">_xlfn.IFS(Y301&lt;0, "Invalid Date", ISBLANK(G301), "Missing Region", TRUE, "Clean")</f>
        <v>Clean</v>
      </c>
    </row>
    <row r="302" spans="1:26">
      <c r="A302" t="s">
        <v>718</v>
      </c>
      <c r="B302" s="4">
        <v>45397</v>
      </c>
      <c r="C302" s="6">
        <v>45405</v>
      </c>
      <c r="D302" t="s">
        <v>2246</v>
      </c>
      <c r="E302" t="s">
        <v>137</v>
      </c>
      <c r="F302" t="s">
        <v>35</v>
      </c>
      <c r="G302" t="s">
        <v>24</v>
      </c>
      <c r="H302" t="s">
        <v>106</v>
      </c>
      <c r="I302" t="s">
        <v>107</v>
      </c>
      <c r="J302" t="s">
        <v>68</v>
      </c>
      <c r="K302" t="s">
        <v>69</v>
      </c>
      <c r="L302" t="s">
        <v>719</v>
      </c>
      <c r="M302" t="s">
        <v>30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31</v>
      </c>
      <c r="U302" t="s">
        <v>32</v>
      </c>
      <c r="V302">
        <f t="shared" si="17"/>
        <v>31539.293999999998</v>
      </c>
      <c r="W302">
        <f t="shared" si="18"/>
        <v>9439.1539999999986</v>
      </c>
      <c r="X302">
        <f t="shared" si="19"/>
        <v>29.928234918638314</v>
      </c>
      <c r="Y302">
        <f t="shared" si="20"/>
        <v>8</v>
      </c>
      <c r="Z302" t="str" cm="1">
        <f t="array" ref="Z302">_xlfn.IFS(Y302&lt;0, "Invalid Date", ISBLANK(G302), "Missing Region", TRUE, "Clean")</f>
        <v>Clean</v>
      </c>
    </row>
    <row r="303" spans="1:26">
      <c r="A303" t="s">
        <v>720</v>
      </c>
      <c r="B303" s="4">
        <v>45805</v>
      </c>
      <c r="C303" s="6">
        <v>45663</v>
      </c>
      <c r="D303" t="s">
        <v>2247</v>
      </c>
      <c r="E303" t="s">
        <v>44</v>
      </c>
      <c r="F303" t="s">
        <v>85</v>
      </c>
      <c r="G303" t="s">
        <v>36</v>
      </c>
      <c r="H303" t="s">
        <v>124</v>
      </c>
      <c r="I303" t="s">
        <v>125</v>
      </c>
      <c r="J303" t="s">
        <v>68</v>
      </c>
      <c r="K303" t="s">
        <v>144</v>
      </c>
      <c r="L303" t="s">
        <v>721</v>
      </c>
      <c r="M303" t="s">
        <v>42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31</v>
      </c>
      <c r="U303" t="s">
        <v>32</v>
      </c>
      <c r="V303">
        <f t="shared" si="17"/>
        <v>6285.6179999999995</v>
      </c>
      <c r="W303">
        <f t="shared" si="18"/>
        <v>2580.2379999999994</v>
      </c>
      <c r="X303">
        <f t="shared" si="19"/>
        <v>41.049869718458865</v>
      </c>
      <c r="Y303">
        <f t="shared" si="20"/>
        <v>-142</v>
      </c>
      <c r="Z303" t="str" cm="1">
        <f t="array" ref="Z303">_xlfn.IFS(Y303&lt;0, "Invalid Date", ISBLANK(G303), "Missing Region", TRUE, "Clean")</f>
        <v>Invalid Date</v>
      </c>
    </row>
    <row r="304" spans="1:26">
      <c r="A304" t="s">
        <v>722</v>
      </c>
      <c r="B304" s="4">
        <v>45753</v>
      </c>
      <c r="C304" s="6">
        <v>45997</v>
      </c>
      <c r="D304" t="s">
        <v>2248</v>
      </c>
      <c r="E304" t="s">
        <v>72</v>
      </c>
      <c r="F304" t="s">
        <v>23</v>
      </c>
      <c r="G304" t="s">
        <v>58</v>
      </c>
      <c r="H304" t="s">
        <v>159</v>
      </c>
      <c r="I304" t="s">
        <v>160</v>
      </c>
      <c r="J304" t="s">
        <v>446</v>
      </c>
      <c r="K304" t="s">
        <v>108</v>
      </c>
      <c r="L304" t="s">
        <v>723</v>
      </c>
      <c r="M304" t="s">
        <v>42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31</v>
      </c>
      <c r="U304" t="s">
        <v>32</v>
      </c>
      <c r="V304">
        <f t="shared" si="17"/>
        <v>4054.92</v>
      </c>
      <c r="W304">
        <f t="shared" si="18"/>
        <v>1630.0900000000001</v>
      </c>
      <c r="X304">
        <f t="shared" si="19"/>
        <v>40.200299882611745</v>
      </c>
      <c r="Y304">
        <f t="shared" si="20"/>
        <v>244</v>
      </c>
      <c r="Z304" t="str" cm="1">
        <f t="array" ref="Z304">_xlfn.IFS(Y304&lt;0, "Invalid Date", ISBLANK(G304), "Missing Region", TRUE, "Clean")</f>
        <v>Clean</v>
      </c>
    </row>
    <row r="305" spans="1:26">
      <c r="A305" t="s">
        <v>724</v>
      </c>
      <c r="B305" s="4">
        <v>45466</v>
      </c>
      <c r="C305" s="6">
        <v>45471</v>
      </c>
      <c r="D305" t="s">
        <v>2249</v>
      </c>
      <c r="E305" t="s">
        <v>137</v>
      </c>
      <c r="F305" t="s">
        <v>85</v>
      </c>
      <c r="G305" t="s">
        <v>58</v>
      </c>
      <c r="H305" t="s">
        <v>151</v>
      </c>
      <c r="I305" t="s">
        <v>152</v>
      </c>
      <c r="J305" t="s">
        <v>39</v>
      </c>
      <c r="K305" t="s">
        <v>61</v>
      </c>
      <c r="L305" t="s">
        <v>725</v>
      </c>
      <c r="M305" t="s">
        <v>55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98</v>
      </c>
      <c r="U305" t="s">
        <v>92</v>
      </c>
      <c r="V305">
        <f t="shared" si="17"/>
        <v>2363.652</v>
      </c>
      <c r="W305">
        <f t="shared" si="18"/>
        <v>487.55200000000013</v>
      </c>
      <c r="X305">
        <f t="shared" si="19"/>
        <v>20.627063544041174</v>
      </c>
      <c r="Y305">
        <f t="shared" si="20"/>
        <v>5</v>
      </c>
      <c r="Z305" t="str" cm="1">
        <f t="array" ref="Z305">_xlfn.IFS(Y305&lt;0, "Invalid Date", ISBLANK(G305), "Missing Region", TRUE, "Clean")</f>
        <v>Clean</v>
      </c>
    </row>
    <row r="306" spans="1:26">
      <c r="A306" t="s">
        <v>726</v>
      </c>
      <c r="B306" s="4">
        <v>45357</v>
      </c>
      <c r="C306" s="6">
        <v>45364</v>
      </c>
      <c r="D306" t="s">
        <v>2250</v>
      </c>
      <c r="E306" t="s">
        <v>22</v>
      </c>
      <c r="F306" t="s">
        <v>23</v>
      </c>
      <c r="G306" t="s">
        <v>24</v>
      </c>
      <c r="H306" t="s">
        <v>106</v>
      </c>
      <c r="I306" t="s">
        <v>107</v>
      </c>
      <c r="J306" t="s">
        <v>39</v>
      </c>
      <c r="K306" t="s">
        <v>53</v>
      </c>
      <c r="L306" t="s">
        <v>727</v>
      </c>
      <c r="M306" t="s">
        <v>55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31</v>
      </c>
      <c r="U306" t="s">
        <v>32</v>
      </c>
      <c r="V306">
        <f t="shared" si="17"/>
        <v>12976.470000000001</v>
      </c>
      <c r="W306">
        <f t="shared" si="18"/>
        <v>2956.4900000000016</v>
      </c>
      <c r="X306">
        <f t="shared" si="19"/>
        <v>22.783468847845377</v>
      </c>
      <c r="Y306">
        <f t="shared" si="20"/>
        <v>7</v>
      </c>
      <c r="Z306" t="str" cm="1">
        <f t="array" ref="Z306">_xlfn.IFS(Y306&lt;0, "Invalid Date", ISBLANK(G306), "Missing Region", TRUE, "Clean")</f>
        <v>Clean</v>
      </c>
    </row>
    <row r="307" spans="1:26">
      <c r="A307" t="s">
        <v>728</v>
      </c>
      <c r="B307" s="4">
        <v>45296</v>
      </c>
      <c r="C307" s="6">
        <v>45414</v>
      </c>
      <c r="D307" t="s">
        <v>2251</v>
      </c>
      <c r="E307" t="s">
        <v>57</v>
      </c>
      <c r="F307" t="s">
        <v>23</v>
      </c>
      <c r="G307" t="s">
        <v>36</v>
      </c>
      <c r="H307" t="s">
        <v>140</v>
      </c>
      <c r="I307" t="s">
        <v>141</v>
      </c>
      <c r="J307" t="s">
        <v>39</v>
      </c>
      <c r="K307" t="s">
        <v>61</v>
      </c>
      <c r="L307" t="s">
        <v>729</v>
      </c>
      <c r="M307" t="s">
        <v>47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31</v>
      </c>
      <c r="U307" t="s">
        <v>63</v>
      </c>
      <c r="V307">
        <f t="shared" si="17"/>
        <v>7480.9080000000004</v>
      </c>
      <c r="W307">
        <f t="shared" si="18"/>
        <v>-2371.0019999999995</v>
      </c>
      <c r="X307">
        <f t="shared" si="19"/>
        <v>-31.694040349112697</v>
      </c>
      <c r="Y307">
        <f t="shared" si="20"/>
        <v>118</v>
      </c>
      <c r="Z307" t="str" cm="1">
        <f t="array" ref="Z307">_xlfn.IFS(Y307&lt;0, "Invalid Date", ISBLANK(G307), "Missing Region", TRUE, "Clean")</f>
        <v>Clean</v>
      </c>
    </row>
    <row r="308" spans="1:26">
      <c r="A308" t="s">
        <v>730</v>
      </c>
      <c r="B308" s="4">
        <v>45708</v>
      </c>
      <c r="C308" s="6">
        <v>45711</v>
      </c>
      <c r="D308" t="s">
        <v>2252</v>
      </c>
      <c r="E308" t="s">
        <v>111</v>
      </c>
      <c r="F308" t="s">
        <v>23</v>
      </c>
      <c r="G308" t="s">
        <v>24</v>
      </c>
      <c r="H308" t="s">
        <v>25</v>
      </c>
      <c r="I308" t="s">
        <v>26</v>
      </c>
      <c r="J308" t="s">
        <v>68</v>
      </c>
      <c r="K308" t="s">
        <v>144</v>
      </c>
      <c r="L308" t="s">
        <v>731</v>
      </c>
      <c r="M308" t="s">
        <v>30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31</v>
      </c>
      <c r="U308" t="s">
        <v>32</v>
      </c>
      <c r="V308">
        <f t="shared" si="17"/>
        <v>14692.44</v>
      </c>
      <c r="W308">
        <f t="shared" si="18"/>
        <v>4610.25</v>
      </c>
      <c r="X308">
        <f t="shared" si="19"/>
        <v>31.378382351740076</v>
      </c>
      <c r="Y308">
        <f t="shared" si="20"/>
        <v>3</v>
      </c>
      <c r="Z308" t="str" cm="1">
        <f t="array" ref="Z308">_xlfn.IFS(Y308&lt;0, "Invalid Date", ISBLANK(G308), "Missing Region", TRUE, "Clean")</f>
        <v>Clean</v>
      </c>
    </row>
    <row r="309" spans="1:26">
      <c r="A309" t="s">
        <v>732</v>
      </c>
      <c r="B309" s="4">
        <v>45998</v>
      </c>
      <c r="C309" s="6">
        <v>45857</v>
      </c>
      <c r="D309" t="s">
        <v>2253</v>
      </c>
      <c r="E309" t="s">
        <v>57</v>
      </c>
      <c r="F309" t="s">
        <v>81</v>
      </c>
      <c r="G309" t="s">
        <v>24</v>
      </c>
      <c r="H309" t="s">
        <v>117</v>
      </c>
      <c r="I309" t="s">
        <v>118</v>
      </c>
      <c r="J309" t="s">
        <v>39</v>
      </c>
      <c r="K309" t="s">
        <v>40</v>
      </c>
      <c r="L309" t="s">
        <v>733</v>
      </c>
      <c r="M309" t="s">
        <v>47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734</v>
      </c>
      <c r="U309" t="s">
        <v>63</v>
      </c>
      <c r="V309">
        <f t="shared" si="17"/>
        <v>29469.888000000003</v>
      </c>
      <c r="W309">
        <f t="shared" si="18"/>
        <v>10534.378000000004</v>
      </c>
      <c r="X309">
        <f t="shared" si="19"/>
        <v>35.746243759053321</v>
      </c>
      <c r="Y309">
        <f t="shared" si="20"/>
        <v>-141</v>
      </c>
      <c r="Z309" t="str" cm="1">
        <f t="array" ref="Z309">_xlfn.IFS(Y309&lt;0, "Invalid Date", ISBLANK(G309), "Missing Region", TRUE, "Clean")</f>
        <v>Invalid Date</v>
      </c>
    </row>
    <row r="310" spans="1:26">
      <c r="A310" t="s">
        <v>735</v>
      </c>
      <c r="B310" s="4">
        <v>45821</v>
      </c>
      <c r="C310" s="6">
        <v>45827</v>
      </c>
      <c r="D310" t="s">
        <v>2254</v>
      </c>
      <c r="E310" t="s">
        <v>121</v>
      </c>
      <c r="F310" t="s">
        <v>23</v>
      </c>
      <c r="G310" t="s">
        <v>24</v>
      </c>
      <c r="H310" t="s">
        <v>25</v>
      </c>
      <c r="I310" t="s">
        <v>26</v>
      </c>
      <c r="J310" t="s">
        <v>39</v>
      </c>
      <c r="K310" t="s">
        <v>40</v>
      </c>
      <c r="L310" t="s">
        <v>736</v>
      </c>
      <c r="M310" t="s">
        <v>47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31</v>
      </c>
      <c r="U310" t="s">
        <v>32</v>
      </c>
      <c r="V310">
        <f t="shared" si="17"/>
        <v>2341.0240000000003</v>
      </c>
      <c r="W310">
        <f t="shared" si="18"/>
        <v>775.53400000000033</v>
      </c>
      <c r="X310">
        <f t="shared" si="19"/>
        <v>33.127981601213833</v>
      </c>
      <c r="Y310">
        <f t="shared" si="20"/>
        <v>6</v>
      </c>
      <c r="Z310" t="str" cm="1">
        <f t="array" ref="Z310">_xlfn.IFS(Y310&lt;0, "Invalid Date", ISBLANK(G310), "Missing Region", TRUE, "Clean")</f>
        <v>Clean</v>
      </c>
    </row>
    <row r="311" spans="1:26">
      <c r="A311" t="s">
        <v>737</v>
      </c>
      <c r="B311" s="4">
        <v>45493</v>
      </c>
      <c r="C311" s="6">
        <v>45495</v>
      </c>
      <c r="D311" t="s">
        <v>2255</v>
      </c>
      <c r="E311" t="s">
        <v>57</v>
      </c>
      <c r="F311" t="s">
        <v>23</v>
      </c>
      <c r="G311" t="s">
        <v>50</v>
      </c>
      <c r="H311" t="s">
        <v>200</v>
      </c>
      <c r="I311" t="s">
        <v>201</v>
      </c>
      <c r="J311" t="s">
        <v>39</v>
      </c>
      <c r="K311" t="s">
        <v>40</v>
      </c>
      <c r="L311" t="s">
        <v>738</v>
      </c>
      <c r="M311" t="s">
        <v>47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31</v>
      </c>
      <c r="U311" t="s">
        <v>63</v>
      </c>
      <c r="V311">
        <f t="shared" si="17"/>
        <v>12982.599</v>
      </c>
      <c r="W311">
        <f t="shared" si="18"/>
        <v>5736.2390000000005</v>
      </c>
      <c r="X311">
        <f t="shared" si="19"/>
        <v>44.184057444892197</v>
      </c>
      <c r="Y311">
        <f t="shared" si="20"/>
        <v>2</v>
      </c>
      <c r="Z311" t="str" cm="1">
        <f t="array" ref="Z311">_xlfn.IFS(Y311&lt;0, "Invalid Date", ISBLANK(G311), "Missing Region", TRUE, "Clean")</f>
        <v>Clean</v>
      </c>
    </row>
    <row r="312" spans="1:26">
      <c r="A312" t="s">
        <v>739</v>
      </c>
      <c r="B312" s="4">
        <v>45389</v>
      </c>
      <c r="C312" s="6">
        <v>45511</v>
      </c>
      <c r="D312" t="s">
        <v>2256</v>
      </c>
      <c r="E312" t="s">
        <v>121</v>
      </c>
      <c r="F312" t="s">
        <v>35</v>
      </c>
      <c r="G312" t="s">
        <v>50</v>
      </c>
      <c r="H312" t="s">
        <v>200</v>
      </c>
      <c r="I312" t="s">
        <v>201</v>
      </c>
      <c r="J312" t="s">
        <v>68</v>
      </c>
      <c r="K312" t="s">
        <v>219</v>
      </c>
      <c r="L312" t="s">
        <v>740</v>
      </c>
      <c r="M312" t="s">
        <v>47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31</v>
      </c>
      <c r="U312" t="s">
        <v>32</v>
      </c>
      <c r="V312">
        <f t="shared" si="17"/>
        <v>16274</v>
      </c>
      <c r="W312">
        <f t="shared" si="18"/>
        <v>6849.75</v>
      </c>
      <c r="X312">
        <f t="shared" si="19"/>
        <v>42.09014378763672</v>
      </c>
      <c r="Y312">
        <f t="shared" si="20"/>
        <v>122</v>
      </c>
      <c r="Z312" t="str" cm="1">
        <f t="array" ref="Z312">_xlfn.IFS(Y312&lt;0, "Invalid Date", ISBLANK(G312), "Missing Region", TRUE, "Clean")</f>
        <v>Clean</v>
      </c>
    </row>
    <row r="313" spans="1:26">
      <c r="A313" t="s">
        <v>741</v>
      </c>
      <c r="B313" s="4">
        <v>45409</v>
      </c>
      <c r="C313" s="6">
        <v>45327</v>
      </c>
      <c r="D313" t="s">
        <v>2257</v>
      </c>
      <c r="E313" t="s">
        <v>34</v>
      </c>
      <c r="F313" t="s">
        <v>81</v>
      </c>
      <c r="G313" t="s">
        <v>50</v>
      </c>
      <c r="H313" t="s">
        <v>147</v>
      </c>
      <c r="I313" t="s">
        <v>148</v>
      </c>
      <c r="J313" t="s">
        <v>27</v>
      </c>
      <c r="K313" t="s">
        <v>130</v>
      </c>
      <c r="L313" t="s">
        <v>742</v>
      </c>
      <c r="M313" t="s">
        <v>30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31</v>
      </c>
      <c r="U313" t="s">
        <v>32</v>
      </c>
      <c r="V313">
        <f t="shared" si="17"/>
        <v>2493.1799999999998</v>
      </c>
      <c r="W313">
        <f t="shared" si="18"/>
        <v>729.17999999999984</v>
      </c>
      <c r="X313">
        <f t="shared" si="19"/>
        <v>29.246985777200194</v>
      </c>
      <c r="Y313">
        <f t="shared" si="20"/>
        <v>-82</v>
      </c>
      <c r="Z313" t="str" cm="1">
        <f t="array" ref="Z313">_xlfn.IFS(Y313&lt;0, "Invalid Date", ISBLANK(G313), "Missing Region", TRUE, "Clean")</f>
        <v>Invalid Date</v>
      </c>
    </row>
    <row r="314" spans="1:26">
      <c r="A314" t="s">
        <v>743</v>
      </c>
      <c r="B314" s="4">
        <v>45504</v>
      </c>
      <c r="C314" s="6">
        <v>45390</v>
      </c>
      <c r="D314" t="s">
        <v>2258</v>
      </c>
      <c r="E314" t="s">
        <v>22</v>
      </c>
      <c r="F314" t="s">
        <v>35</v>
      </c>
      <c r="G314" t="s">
        <v>36</v>
      </c>
      <c r="H314" t="s">
        <v>140</v>
      </c>
      <c r="I314" t="s">
        <v>141</v>
      </c>
      <c r="J314" t="s">
        <v>68</v>
      </c>
      <c r="K314" t="s">
        <v>144</v>
      </c>
      <c r="L314" t="s">
        <v>744</v>
      </c>
      <c r="M314" t="s">
        <v>55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31</v>
      </c>
      <c r="U314" t="s">
        <v>63</v>
      </c>
      <c r="V314">
        <f t="shared" si="17"/>
        <v>20917.919999999998</v>
      </c>
      <c r="W314">
        <f t="shared" si="18"/>
        <v>10870.589999999998</v>
      </c>
      <c r="X314">
        <f t="shared" si="19"/>
        <v>51.967834277977921</v>
      </c>
      <c r="Y314">
        <f t="shared" si="20"/>
        <v>-114</v>
      </c>
      <c r="Z314" t="str" cm="1">
        <f t="array" ref="Z314">_xlfn.IFS(Y314&lt;0, "Invalid Date", ISBLANK(G314), "Missing Region", TRUE, "Clean")</f>
        <v>Invalid Date</v>
      </c>
    </row>
    <row r="315" spans="1:26">
      <c r="A315" t="s">
        <v>745</v>
      </c>
      <c r="B315" s="4">
        <v>45807</v>
      </c>
      <c r="C315" s="6">
        <v>45808</v>
      </c>
      <c r="D315" t="s">
        <v>2259</v>
      </c>
      <c r="E315" t="s">
        <v>103</v>
      </c>
      <c r="F315" t="s">
        <v>81</v>
      </c>
      <c r="G315" t="s">
        <v>24</v>
      </c>
      <c r="H315" t="s">
        <v>117</v>
      </c>
      <c r="I315" t="s">
        <v>118</v>
      </c>
      <c r="J315" t="s">
        <v>68</v>
      </c>
      <c r="K315" t="s">
        <v>144</v>
      </c>
      <c r="L315" t="s">
        <v>746</v>
      </c>
      <c r="M315" t="s">
        <v>47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91</v>
      </c>
      <c r="U315" t="s">
        <v>63</v>
      </c>
      <c r="V315">
        <f t="shared" si="17"/>
        <v>12488.579999999998</v>
      </c>
      <c r="W315">
        <f t="shared" si="18"/>
        <v>1771.1799999999985</v>
      </c>
      <c r="X315">
        <f t="shared" si="19"/>
        <v>14.182397037933846</v>
      </c>
      <c r="Y315">
        <f t="shared" si="20"/>
        <v>1</v>
      </c>
      <c r="Z315" t="str" cm="1">
        <f t="array" ref="Z315">_xlfn.IFS(Y315&lt;0, "Invalid Date", ISBLANK(G315), "Missing Region", TRUE, "Clean")</f>
        <v>Clean</v>
      </c>
    </row>
    <row r="316" spans="1:26">
      <c r="A316" t="s">
        <v>747</v>
      </c>
      <c r="B316" s="4">
        <v>45795</v>
      </c>
      <c r="C316" s="6">
        <v>45797</v>
      </c>
      <c r="D316" t="s">
        <v>2260</v>
      </c>
      <c r="E316" t="s">
        <v>44</v>
      </c>
      <c r="F316" t="s">
        <v>81</v>
      </c>
      <c r="G316" t="s">
        <v>58</v>
      </c>
      <c r="H316" t="s">
        <v>66</v>
      </c>
      <c r="I316" t="s">
        <v>67</v>
      </c>
      <c r="J316" t="s">
        <v>27</v>
      </c>
      <c r="K316" t="s">
        <v>82</v>
      </c>
      <c r="L316" t="s">
        <v>748</v>
      </c>
      <c r="M316" t="s">
        <v>55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132</v>
      </c>
      <c r="U316" t="s">
        <v>92</v>
      </c>
      <c r="V316">
        <f t="shared" si="17"/>
        <v>6485.3639999999996</v>
      </c>
      <c r="W316">
        <f t="shared" si="18"/>
        <v>1109.1939999999995</v>
      </c>
      <c r="X316">
        <f t="shared" si="19"/>
        <v>17.103033846673828</v>
      </c>
      <c r="Y316">
        <f t="shared" si="20"/>
        <v>2</v>
      </c>
      <c r="Z316" t="str" cm="1">
        <f t="array" ref="Z316">_xlfn.IFS(Y316&lt;0, "Invalid Date", ISBLANK(G316), "Missing Region", TRUE, "Clean")</f>
        <v>Clean</v>
      </c>
    </row>
    <row r="317" spans="1:26">
      <c r="A317" t="s">
        <v>749</v>
      </c>
      <c r="B317" s="4">
        <v>45329</v>
      </c>
      <c r="C317" s="6">
        <v>45511</v>
      </c>
      <c r="D317" t="s">
        <v>2261</v>
      </c>
      <c r="E317" t="s">
        <v>121</v>
      </c>
      <c r="F317" t="s">
        <v>23</v>
      </c>
      <c r="G317" t="s">
        <v>24</v>
      </c>
      <c r="H317" t="s">
        <v>270</v>
      </c>
      <c r="I317" t="s">
        <v>271</v>
      </c>
      <c r="J317" t="s">
        <v>27</v>
      </c>
      <c r="K317" t="s">
        <v>28</v>
      </c>
      <c r="L317" t="s">
        <v>750</v>
      </c>
      <c r="M317" t="s">
        <v>55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98</v>
      </c>
      <c r="U317" t="s">
        <v>92</v>
      </c>
      <c r="V317">
        <f t="shared" si="17"/>
        <v>29500.920000000002</v>
      </c>
      <c r="W317">
        <f t="shared" si="18"/>
        <v>11511.240000000002</v>
      </c>
      <c r="X317">
        <f t="shared" si="19"/>
        <v>39.019935649464493</v>
      </c>
      <c r="Y317">
        <f t="shared" si="20"/>
        <v>182</v>
      </c>
      <c r="Z317" t="str" cm="1">
        <f t="array" ref="Z317">_xlfn.IFS(Y317&lt;0, "Invalid Date", ISBLANK(G317), "Missing Region", TRUE, "Clean")</f>
        <v>Clean</v>
      </c>
    </row>
    <row r="318" spans="1:26">
      <c r="A318" t="s">
        <v>751</v>
      </c>
      <c r="B318" s="4">
        <v>45338</v>
      </c>
      <c r="C318" s="6">
        <v>45340</v>
      </c>
      <c r="D318" t="s">
        <v>2262</v>
      </c>
      <c r="E318" t="s">
        <v>22</v>
      </c>
      <c r="F318" t="s">
        <v>81</v>
      </c>
      <c r="G318" t="s">
        <v>24</v>
      </c>
      <c r="H318" t="s">
        <v>106</v>
      </c>
      <c r="I318" t="s">
        <v>107</v>
      </c>
      <c r="J318" t="s">
        <v>27</v>
      </c>
      <c r="K318" t="s">
        <v>82</v>
      </c>
      <c r="L318" t="s">
        <v>752</v>
      </c>
      <c r="M318" t="s">
        <v>55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31</v>
      </c>
      <c r="U318" t="s">
        <v>63</v>
      </c>
      <c r="V318">
        <f t="shared" si="17"/>
        <v>3116.0480000000002</v>
      </c>
      <c r="W318">
        <f t="shared" si="18"/>
        <v>1159.4180000000001</v>
      </c>
      <c r="X318">
        <f t="shared" si="19"/>
        <v>37.207963420332426</v>
      </c>
      <c r="Y318">
        <f t="shared" si="20"/>
        <v>2</v>
      </c>
      <c r="Z318" t="str" cm="1">
        <f t="array" ref="Z318">_xlfn.IFS(Y318&lt;0, "Invalid Date", ISBLANK(G318), "Missing Region", TRUE, "Clean")</f>
        <v>Clean</v>
      </c>
    </row>
    <row r="319" spans="1:26">
      <c r="A319" t="s">
        <v>753</v>
      </c>
      <c r="B319" s="4">
        <v>45898</v>
      </c>
      <c r="C319" s="6">
        <v>45756</v>
      </c>
      <c r="D319" t="s">
        <v>2263</v>
      </c>
      <c r="E319" t="s">
        <v>72</v>
      </c>
      <c r="F319" t="s">
        <v>81</v>
      </c>
      <c r="G319" t="s">
        <v>50</v>
      </c>
      <c r="H319" t="s">
        <v>155</v>
      </c>
      <c r="I319" t="s">
        <v>156</v>
      </c>
      <c r="J319" t="s">
        <v>39</v>
      </c>
      <c r="K319" t="s">
        <v>40</v>
      </c>
      <c r="L319" t="s">
        <v>754</v>
      </c>
      <c r="M319" t="s">
        <v>47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31</v>
      </c>
      <c r="U319" t="s">
        <v>32</v>
      </c>
      <c r="V319">
        <f t="shared" si="17"/>
        <v>22926.820499999998</v>
      </c>
      <c r="W319">
        <f t="shared" si="18"/>
        <v>8305.2304999999978</v>
      </c>
      <c r="X319">
        <f t="shared" si="19"/>
        <v>36.224955396671767</v>
      </c>
      <c r="Y319">
        <f t="shared" si="20"/>
        <v>-142</v>
      </c>
      <c r="Z319" t="str" cm="1">
        <f t="array" ref="Z319">_xlfn.IFS(Y319&lt;0, "Invalid Date", ISBLANK(G319), "Missing Region", TRUE, "Clean")</f>
        <v>Invalid Date</v>
      </c>
    </row>
    <row r="320" spans="1:26">
      <c r="A320" t="s">
        <v>755</v>
      </c>
      <c r="B320" s="4">
        <v>45407</v>
      </c>
      <c r="C320" s="6">
        <v>45412</v>
      </c>
      <c r="D320" t="s">
        <v>2264</v>
      </c>
      <c r="E320" t="s">
        <v>34</v>
      </c>
      <c r="F320" t="s">
        <v>35</v>
      </c>
      <c r="G320" t="s">
        <v>50</v>
      </c>
      <c r="H320" t="s">
        <v>147</v>
      </c>
      <c r="I320" t="s">
        <v>148</v>
      </c>
      <c r="J320" t="s">
        <v>68</v>
      </c>
      <c r="K320" t="s">
        <v>144</v>
      </c>
      <c r="L320" t="s">
        <v>756</v>
      </c>
      <c r="M320" t="s">
        <v>55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31</v>
      </c>
      <c r="U320" t="s">
        <v>32</v>
      </c>
      <c r="V320">
        <f t="shared" si="17"/>
        <v>11203.542000000001</v>
      </c>
      <c r="W320">
        <f t="shared" si="18"/>
        <v>2750.612000000001</v>
      </c>
      <c r="X320">
        <f t="shared" si="19"/>
        <v>24.551271374713469</v>
      </c>
      <c r="Y320">
        <f t="shared" si="20"/>
        <v>5</v>
      </c>
      <c r="Z320" t="str" cm="1">
        <f t="array" ref="Z320">_xlfn.IFS(Y320&lt;0, "Invalid Date", ISBLANK(G320), "Missing Region", TRUE, "Clean")</f>
        <v>Clean</v>
      </c>
    </row>
    <row r="321" spans="1:26">
      <c r="A321" t="s">
        <v>757</v>
      </c>
      <c r="B321" s="4">
        <v>45525</v>
      </c>
      <c r="C321" s="6">
        <v>45529</v>
      </c>
      <c r="D321" t="s">
        <v>2265</v>
      </c>
      <c r="E321" t="s">
        <v>137</v>
      </c>
      <c r="F321" t="s">
        <v>23</v>
      </c>
      <c r="G321" t="s">
        <v>58</v>
      </c>
      <c r="H321" t="s">
        <v>151</v>
      </c>
      <c r="I321" t="s">
        <v>152</v>
      </c>
      <c r="J321" t="s">
        <v>27</v>
      </c>
      <c r="K321" t="s">
        <v>130</v>
      </c>
      <c r="L321" t="s">
        <v>758</v>
      </c>
      <c r="M321" t="s">
        <v>47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31</v>
      </c>
      <c r="U321" t="s">
        <v>32</v>
      </c>
      <c r="V321">
        <f t="shared" si="17"/>
        <v>270.27999999999997</v>
      </c>
      <c r="W321">
        <f t="shared" si="18"/>
        <v>113.93999999999997</v>
      </c>
      <c r="X321">
        <f t="shared" si="19"/>
        <v>42.156282373834536</v>
      </c>
      <c r="Y321">
        <f t="shared" si="20"/>
        <v>4</v>
      </c>
      <c r="Z321" t="str" cm="1">
        <f t="array" ref="Z321">_xlfn.IFS(Y321&lt;0, "Invalid Date", ISBLANK(G321), "Missing Region", TRUE, "Clean")</f>
        <v>Clean</v>
      </c>
    </row>
    <row r="322" spans="1:26">
      <c r="A322" t="s">
        <v>759</v>
      </c>
      <c r="B322" s="4">
        <v>45630</v>
      </c>
      <c r="C322" s="6">
        <v>45632</v>
      </c>
      <c r="D322" t="s">
        <v>2266</v>
      </c>
      <c r="E322" t="s">
        <v>111</v>
      </c>
      <c r="F322" t="s">
        <v>85</v>
      </c>
      <c r="G322" t="s">
        <v>36</v>
      </c>
      <c r="H322" t="s">
        <v>88</v>
      </c>
      <c r="I322" t="s">
        <v>89</v>
      </c>
      <c r="J322" t="s">
        <v>27</v>
      </c>
      <c r="K322" t="s">
        <v>45</v>
      </c>
      <c r="L322" t="s">
        <v>760</v>
      </c>
      <c r="M322" t="s">
        <v>30</v>
      </c>
      <c r="N322">
        <v>3</v>
      </c>
      <c r="O322">
        <v>876.14</v>
      </c>
      <c r="P322" t="s">
        <v>347</v>
      </c>
      <c r="Q322">
        <v>2628.42</v>
      </c>
      <c r="R322">
        <v>1541.54</v>
      </c>
      <c r="S322">
        <v>1086.8800000000001</v>
      </c>
      <c r="T322" t="s">
        <v>98</v>
      </c>
      <c r="U322" t="s">
        <v>92</v>
      </c>
      <c r="V322">
        <f t="shared" si="17"/>
        <v>788.52600000000018</v>
      </c>
      <c r="W322">
        <f t="shared" si="18"/>
        <v>-753.01399999999978</v>
      </c>
      <c r="X322">
        <f t="shared" si="19"/>
        <v>-95.49640722056084</v>
      </c>
      <c r="Y322">
        <f t="shared" si="20"/>
        <v>2</v>
      </c>
      <c r="Z322" t="str" cm="1">
        <f t="array" ref="Z322">_xlfn.IFS(Y322&lt;0, "Invalid Date", ISBLANK(G322), "Missing Region", TRUE, "Clean")</f>
        <v>Clean</v>
      </c>
    </row>
    <row r="323" spans="1:26">
      <c r="A323" t="s">
        <v>761</v>
      </c>
      <c r="B323" s="4">
        <v>45466</v>
      </c>
      <c r="C323" s="6">
        <v>45473</v>
      </c>
      <c r="D323" t="s">
        <v>2267</v>
      </c>
      <c r="E323" t="s">
        <v>72</v>
      </c>
      <c r="F323" t="s">
        <v>35</v>
      </c>
      <c r="G323" t="s">
        <v>58</v>
      </c>
      <c r="H323" t="s">
        <v>159</v>
      </c>
      <c r="I323" t="s">
        <v>160</v>
      </c>
      <c r="J323" t="s">
        <v>68</v>
      </c>
      <c r="K323" t="s">
        <v>69</v>
      </c>
      <c r="L323" t="s">
        <v>762</v>
      </c>
      <c r="M323" t="s">
        <v>42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132</v>
      </c>
      <c r="U323" t="s">
        <v>63</v>
      </c>
      <c r="V323">
        <f t="shared" ref="V323:V386" si="21">N323*O323*(1- P323)</f>
        <v>2699.28</v>
      </c>
      <c r="W323">
        <f t="shared" ref="W323:W386" si="22">V323-R323</f>
        <v>939.52000000000021</v>
      </c>
      <c r="X323">
        <f t="shared" ref="X323:X386" si="23">W323/V323*100</f>
        <v>34.80631872202958</v>
      </c>
      <c r="Y323">
        <f t="shared" si="20"/>
        <v>7</v>
      </c>
      <c r="Z323" t="str" cm="1">
        <f t="array" ref="Z323">_xlfn.IFS(Y323&lt;0, "Invalid Date", ISBLANK(G323), "Missing Region", TRUE, "Clean")</f>
        <v>Clean</v>
      </c>
    </row>
    <row r="324" spans="1:26">
      <c r="A324" t="s">
        <v>763</v>
      </c>
      <c r="B324" s="4">
        <v>45637</v>
      </c>
      <c r="C324" s="6">
        <v>45637</v>
      </c>
      <c r="D324" t="s">
        <v>2268</v>
      </c>
      <c r="E324" t="s">
        <v>44</v>
      </c>
      <c r="F324" t="s">
        <v>23</v>
      </c>
      <c r="G324" t="s">
        <v>24</v>
      </c>
      <c r="H324" t="s">
        <v>117</v>
      </c>
      <c r="I324" t="s">
        <v>118</v>
      </c>
      <c r="J324" t="s">
        <v>68</v>
      </c>
      <c r="K324" t="s">
        <v>144</v>
      </c>
      <c r="L324" t="s">
        <v>764</v>
      </c>
      <c r="M324" t="s">
        <v>30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31</v>
      </c>
      <c r="U324" t="s">
        <v>32</v>
      </c>
      <c r="V324">
        <f t="shared" si="21"/>
        <v>6984.3480000000009</v>
      </c>
      <c r="W324">
        <f t="shared" si="22"/>
        <v>2960.7180000000008</v>
      </c>
      <c r="X324">
        <f t="shared" si="23"/>
        <v>42.390757161584737</v>
      </c>
      <c r="Y324">
        <f t="shared" si="20"/>
        <v>0</v>
      </c>
      <c r="Z324" t="str" cm="1">
        <f t="array" ref="Z324">_xlfn.IFS(Y324&lt;0, "Invalid Date", ISBLANK(G324), "Missing Region", TRUE, "Clean")</f>
        <v>Clean</v>
      </c>
    </row>
    <row r="325" spans="1:26">
      <c r="A325" t="s">
        <v>765</v>
      </c>
      <c r="B325" s="4">
        <v>45347</v>
      </c>
      <c r="C325" s="6">
        <v>45351</v>
      </c>
      <c r="D325" t="s">
        <v>2269</v>
      </c>
      <c r="E325" t="s">
        <v>44</v>
      </c>
      <c r="F325" t="s">
        <v>35</v>
      </c>
      <c r="G325" t="s">
        <v>58</v>
      </c>
      <c r="H325" t="s">
        <v>159</v>
      </c>
      <c r="I325" t="s">
        <v>160</v>
      </c>
      <c r="J325" t="s">
        <v>39</v>
      </c>
      <c r="K325" t="s">
        <v>53</v>
      </c>
      <c r="L325" t="s">
        <v>128</v>
      </c>
      <c r="M325" t="s">
        <v>55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31</v>
      </c>
      <c r="U325" t="s">
        <v>32</v>
      </c>
      <c r="V325">
        <f t="shared" si="21"/>
        <v>10185.669</v>
      </c>
      <c r="W325">
        <f t="shared" si="22"/>
        <v>3706.3589999999995</v>
      </c>
      <c r="X325">
        <f t="shared" si="23"/>
        <v>36.387978050337189</v>
      </c>
      <c r="Y325">
        <f t="shared" si="20"/>
        <v>4</v>
      </c>
      <c r="Z325" t="str" cm="1">
        <f t="array" ref="Z325">_xlfn.IFS(Y325&lt;0, "Invalid Date", ISBLANK(G325), "Missing Region", TRUE, "Clean")</f>
        <v>Clean</v>
      </c>
    </row>
    <row r="326" spans="1:26">
      <c r="A326" t="s">
        <v>766</v>
      </c>
      <c r="B326" s="4">
        <v>45869</v>
      </c>
      <c r="C326" s="6">
        <v>45696</v>
      </c>
      <c r="D326" t="s">
        <v>2270</v>
      </c>
      <c r="E326" t="s">
        <v>121</v>
      </c>
      <c r="F326" t="s">
        <v>85</v>
      </c>
      <c r="G326" t="s">
        <v>50</v>
      </c>
      <c r="H326" t="s">
        <v>76</v>
      </c>
      <c r="I326" t="s">
        <v>77</v>
      </c>
      <c r="J326" t="s">
        <v>27</v>
      </c>
      <c r="K326" t="s">
        <v>82</v>
      </c>
      <c r="L326" t="s">
        <v>767</v>
      </c>
      <c r="M326" t="s">
        <v>42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31</v>
      </c>
      <c r="U326" t="s">
        <v>92</v>
      </c>
      <c r="V326">
        <f t="shared" si="21"/>
        <v>1655.6980000000001</v>
      </c>
      <c r="W326">
        <f t="shared" si="22"/>
        <v>300.89800000000014</v>
      </c>
      <c r="X326">
        <f t="shared" si="23"/>
        <v>18.17348332848141</v>
      </c>
      <c r="Y326">
        <f t="shared" si="20"/>
        <v>-173</v>
      </c>
      <c r="Z326" t="str" cm="1">
        <f t="array" ref="Z326">_xlfn.IFS(Y326&lt;0, "Invalid Date", ISBLANK(G326), "Missing Region", TRUE, "Clean")</f>
        <v>Invalid Date</v>
      </c>
    </row>
    <row r="327" spans="1:26">
      <c r="A327" t="s">
        <v>768</v>
      </c>
      <c r="B327" s="4">
        <v>45916</v>
      </c>
      <c r="C327" s="6">
        <v>45922</v>
      </c>
      <c r="D327" t="s">
        <v>2271</v>
      </c>
      <c r="E327" t="s">
        <v>114</v>
      </c>
      <c r="F327" t="s">
        <v>85</v>
      </c>
      <c r="G327" t="s">
        <v>36</v>
      </c>
      <c r="H327" t="s">
        <v>88</v>
      </c>
      <c r="I327" t="s">
        <v>89</v>
      </c>
      <c r="J327" t="s">
        <v>68</v>
      </c>
      <c r="K327" t="s">
        <v>73</v>
      </c>
      <c r="L327" t="s">
        <v>769</v>
      </c>
      <c r="M327" t="s">
        <v>30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31</v>
      </c>
      <c r="U327" t="s">
        <v>32</v>
      </c>
      <c r="V327">
        <f t="shared" si="21"/>
        <v>15602.6</v>
      </c>
      <c r="W327">
        <f t="shared" si="22"/>
        <v>3694.08</v>
      </c>
      <c r="X327">
        <f t="shared" si="23"/>
        <v>23.676053991001499</v>
      </c>
      <c r="Y327">
        <f t="shared" ref="Y327:Y390" si="24">C327-B327</f>
        <v>6</v>
      </c>
      <c r="Z327" t="str" cm="1">
        <f t="array" ref="Z327">_xlfn.IFS(Y327&lt;0, "Invalid Date", ISBLANK(G327), "Missing Region", TRUE, "Clean")</f>
        <v>Clean</v>
      </c>
    </row>
    <row r="328" spans="1:26">
      <c r="A328" t="s">
        <v>770</v>
      </c>
      <c r="B328" s="4">
        <v>45860</v>
      </c>
      <c r="C328" s="6">
        <v>45860</v>
      </c>
      <c r="D328" t="s">
        <v>2272</v>
      </c>
      <c r="E328" t="s">
        <v>114</v>
      </c>
      <c r="F328" t="s">
        <v>81</v>
      </c>
      <c r="G328" t="s">
        <v>36</v>
      </c>
      <c r="H328" t="s">
        <v>186</v>
      </c>
      <c r="I328" t="s">
        <v>187</v>
      </c>
      <c r="J328" t="s">
        <v>39</v>
      </c>
      <c r="K328" t="s">
        <v>53</v>
      </c>
      <c r="L328" t="s">
        <v>771</v>
      </c>
      <c r="M328" t="s">
        <v>42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31</v>
      </c>
      <c r="U328" t="s">
        <v>32</v>
      </c>
      <c r="V328">
        <f t="shared" si="21"/>
        <v>15138.487499999999</v>
      </c>
      <c r="W328">
        <f t="shared" si="22"/>
        <v>3902.7674999999999</v>
      </c>
      <c r="X328">
        <f t="shared" si="23"/>
        <v>25.780432160082047</v>
      </c>
      <c r="Y328">
        <f t="shared" si="24"/>
        <v>0</v>
      </c>
      <c r="Z328" t="str" cm="1">
        <f t="array" ref="Z328">_xlfn.IFS(Y328&lt;0, "Invalid Date", ISBLANK(G328), "Missing Region", TRUE, "Clean")</f>
        <v>Clean</v>
      </c>
    </row>
    <row r="329" spans="1:26">
      <c r="A329" t="s">
        <v>772</v>
      </c>
      <c r="B329" s="4">
        <v>45497</v>
      </c>
      <c r="C329" s="6">
        <v>45500</v>
      </c>
      <c r="D329" t="s">
        <v>2273</v>
      </c>
      <c r="E329" t="s">
        <v>44</v>
      </c>
      <c r="F329" t="s">
        <v>23</v>
      </c>
      <c r="G329" t="s">
        <v>58</v>
      </c>
      <c r="H329" t="s">
        <v>25</v>
      </c>
      <c r="I329" t="s">
        <v>96</v>
      </c>
      <c r="J329" t="s">
        <v>68</v>
      </c>
      <c r="K329" t="s">
        <v>69</v>
      </c>
      <c r="L329" t="s">
        <v>773</v>
      </c>
      <c r="M329" t="s">
        <v>30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98</v>
      </c>
      <c r="U329" t="s">
        <v>63</v>
      </c>
      <c r="V329">
        <f t="shared" si="21"/>
        <v>4402.92</v>
      </c>
      <c r="W329">
        <f t="shared" si="22"/>
        <v>1408.98</v>
      </c>
      <c r="X329">
        <f t="shared" si="23"/>
        <v>32.001035676323895</v>
      </c>
      <c r="Y329">
        <f t="shared" si="24"/>
        <v>3</v>
      </c>
      <c r="Z329" t="str" cm="1">
        <f t="array" ref="Z329">_xlfn.IFS(Y329&lt;0, "Invalid Date", ISBLANK(G329), "Missing Region", TRUE, "Clean")</f>
        <v>Clean</v>
      </c>
    </row>
    <row r="330" spans="1:26">
      <c r="A330" t="s">
        <v>774</v>
      </c>
      <c r="B330" s="4">
        <v>45806</v>
      </c>
      <c r="C330" s="6">
        <v>45753</v>
      </c>
      <c r="D330" t="s">
        <v>2274</v>
      </c>
      <c r="E330" t="s">
        <v>137</v>
      </c>
      <c r="F330" t="s">
        <v>23</v>
      </c>
      <c r="G330" t="s">
        <v>58</v>
      </c>
      <c r="H330" t="s">
        <v>59</v>
      </c>
      <c r="I330" t="s">
        <v>60</v>
      </c>
      <c r="J330" t="s">
        <v>27</v>
      </c>
      <c r="K330" t="s">
        <v>108</v>
      </c>
      <c r="L330" t="s">
        <v>775</v>
      </c>
      <c r="M330" t="s">
        <v>47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31</v>
      </c>
      <c r="U330" t="s">
        <v>32</v>
      </c>
      <c r="V330">
        <f t="shared" si="21"/>
        <v>18604.079999999998</v>
      </c>
      <c r="W330">
        <f t="shared" si="22"/>
        <v>2769.7799999999988</v>
      </c>
      <c r="X330">
        <f t="shared" si="23"/>
        <v>14.88802456235406</v>
      </c>
      <c r="Y330">
        <f t="shared" si="24"/>
        <v>-53</v>
      </c>
      <c r="Z330" t="str" cm="1">
        <f t="array" ref="Z330">_xlfn.IFS(Y330&lt;0, "Invalid Date", ISBLANK(G330), "Missing Region", TRUE, "Clean")</f>
        <v>Invalid Date</v>
      </c>
    </row>
    <row r="331" spans="1:26">
      <c r="A331" t="s">
        <v>776</v>
      </c>
      <c r="B331" s="4">
        <v>45996</v>
      </c>
      <c r="C331" s="6">
        <v>45795</v>
      </c>
      <c r="D331" t="s">
        <v>2275</v>
      </c>
      <c r="E331" t="s">
        <v>72</v>
      </c>
      <c r="F331" t="s">
        <v>35</v>
      </c>
      <c r="G331" t="s">
        <v>58</v>
      </c>
      <c r="H331" t="s">
        <v>59</v>
      </c>
      <c r="I331" t="s">
        <v>60</v>
      </c>
      <c r="J331" t="s">
        <v>27</v>
      </c>
      <c r="K331" t="s">
        <v>108</v>
      </c>
      <c r="L331" t="s">
        <v>777</v>
      </c>
      <c r="M331" t="s">
        <v>55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31</v>
      </c>
      <c r="U331" t="s">
        <v>32</v>
      </c>
      <c r="V331">
        <f t="shared" si="21"/>
        <v>15401.513999999999</v>
      </c>
      <c r="W331">
        <f t="shared" si="22"/>
        <v>6751.0939999999991</v>
      </c>
      <c r="X331">
        <f t="shared" si="23"/>
        <v>43.833963336331735</v>
      </c>
      <c r="Y331">
        <f t="shared" si="24"/>
        <v>-201</v>
      </c>
      <c r="Z331" t="str" cm="1">
        <f t="array" ref="Z331">_xlfn.IFS(Y331&lt;0, "Invalid Date", ISBLANK(G331), "Missing Region", TRUE, "Clean")</f>
        <v>Invalid Date</v>
      </c>
    </row>
    <row r="332" spans="1:26">
      <c r="A332" t="s">
        <v>778</v>
      </c>
      <c r="B332" s="4">
        <v>45428</v>
      </c>
      <c r="C332" s="6">
        <v>45436</v>
      </c>
      <c r="D332" t="s">
        <v>2276</v>
      </c>
      <c r="E332" t="s">
        <v>49</v>
      </c>
      <c r="F332" t="s">
        <v>85</v>
      </c>
      <c r="G332" t="s">
        <v>24</v>
      </c>
      <c r="H332" t="s">
        <v>106</v>
      </c>
      <c r="I332" t="s">
        <v>107</v>
      </c>
      <c r="J332" t="s">
        <v>68</v>
      </c>
      <c r="K332" t="s">
        <v>69</v>
      </c>
      <c r="L332" t="s">
        <v>779</v>
      </c>
      <c r="M332" t="s">
        <v>42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132</v>
      </c>
      <c r="U332" t="s">
        <v>63</v>
      </c>
      <c r="V332">
        <f t="shared" si="21"/>
        <v>783.09</v>
      </c>
      <c r="W332">
        <f t="shared" si="22"/>
        <v>279.20000000000005</v>
      </c>
      <c r="X332">
        <f t="shared" si="23"/>
        <v>35.653628573982559</v>
      </c>
      <c r="Y332">
        <f t="shared" si="24"/>
        <v>8</v>
      </c>
      <c r="Z332" t="str" cm="1">
        <f t="array" ref="Z332">_xlfn.IFS(Y332&lt;0, "Invalid Date", ISBLANK(G332), "Missing Region", TRUE, "Clean")</f>
        <v>Clean</v>
      </c>
    </row>
    <row r="333" spans="1:26">
      <c r="A333" t="s">
        <v>780</v>
      </c>
      <c r="B333" s="4">
        <v>45394</v>
      </c>
      <c r="C333" s="6">
        <v>45455</v>
      </c>
      <c r="D333" t="s">
        <v>2277</v>
      </c>
      <c r="E333" t="s">
        <v>114</v>
      </c>
      <c r="F333" t="s">
        <v>85</v>
      </c>
      <c r="G333" t="s">
        <v>36</v>
      </c>
      <c r="H333" t="s">
        <v>37</v>
      </c>
      <c r="I333" t="s">
        <v>38</v>
      </c>
      <c r="J333" t="s">
        <v>27</v>
      </c>
      <c r="K333" t="s">
        <v>130</v>
      </c>
      <c r="L333" t="s">
        <v>781</v>
      </c>
      <c r="M333" t="s">
        <v>30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31</v>
      </c>
      <c r="U333" t="s">
        <v>92</v>
      </c>
      <c r="V333">
        <f t="shared" si="21"/>
        <v>10742.64</v>
      </c>
      <c r="W333">
        <f t="shared" si="22"/>
        <v>4265.2699999999995</v>
      </c>
      <c r="X333">
        <f t="shared" si="23"/>
        <v>39.704113700170538</v>
      </c>
      <c r="Y333">
        <f t="shared" si="24"/>
        <v>61</v>
      </c>
      <c r="Z333" t="str" cm="1">
        <f t="array" ref="Z333">_xlfn.IFS(Y333&lt;0, "Invalid Date", ISBLANK(G333), "Missing Region", TRUE, "Clean")</f>
        <v>Clean</v>
      </c>
    </row>
    <row r="334" spans="1:26">
      <c r="A334" t="s">
        <v>782</v>
      </c>
      <c r="B334" s="4">
        <v>45804</v>
      </c>
      <c r="C334" s="6">
        <v>45805</v>
      </c>
      <c r="D334" t="s">
        <v>2278</v>
      </c>
      <c r="E334" t="s">
        <v>111</v>
      </c>
      <c r="F334" t="s">
        <v>23</v>
      </c>
      <c r="G334" t="s">
        <v>50</v>
      </c>
      <c r="H334" t="s">
        <v>76</v>
      </c>
      <c r="I334" t="s">
        <v>77</v>
      </c>
      <c r="J334" t="s">
        <v>68</v>
      </c>
      <c r="K334" t="s">
        <v>783</v>
      </c>
      <c r="L334" t="s">
        <v>784</v>
      </c>
      <c r="M334" t="s">
        <v>30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31</v>
      </c>
      <c r="U334" t="s">
        <v>32</v>
      </c>
      <c r="V334">
        <f t="shared" si="21"/>
        <v>7823.92</v>
      </c>
      <c r="W334">
        <f t="shared" si="22"/>
        <v>1789.29</v>
      </c>
      <c r="X334">
        <f t="shared" si="23"/>
        <v>22.869482305545048</v>
      </c>
      <c r="Y334">
        <f t="shared" si="24"/>
        <v>1</v>
      </c>
      <c r="Z334" t="str" cm="1">
        <f t="array" ref="Z334">_xlfn.IFS(Y334&lt;0, "Invalid Date", ISBLANK(G334), "Missing Region", TRUE, "Clean")</f>
        <v>Clean</v>
      </c>
    </row>
    <row r="335" spans="1:26">
      <c r="A335" t="s">
        <v>785</v>
      </c>
      <c r="B335" s="4">
        <v>45830</v>
      </c>
      <c r="C335" s="6">
        <v>45835</v>
      </c>
      <c r="D335" t="s">
        <v>2279</v>
      </c>
      <c r="E335" t="s">
        <v>121</v>
      </c>
      <c r="F335" t="s">
        <v>85</v>
      </c>
      <c r="G335" t="s">
        <v>2806</v>
      </c>
      <c r="H335" t="s">
        <v>270</v>
      </c>
      <c r="I335" t="s">
        <v>271</v>
      </c>
      <c r="J335" t="s">
        <v>68</v>
      </c>
      <c r="K335" t="s">
        <v>144</v>
      </c>
      <c r="L335" t="s">
        <v>786</v>
      </c>
      <c r="M335" t="s">
        <v>47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31</v>
      </c>
      <c r="U335" t="s">
        <v>32</v>
      </c>
      <c r="V335">
        <f t="shared" si="21"/>
        <v>2936.1</v>
      </c>
      <c r="W335">
        <f t="shared" si="22"/>
        <v>1013</v>
      </c>
      <c r="X335">
        <f t="shared" si="23"/>
        <v>34.501549674738605</v>
      </c>
      <c r="Y335">
        <f t="shared" si="24"/>
        <v>5</v>
      </c>
      <c r="Z335" t="str" cm="1">
        <f t="array" ref="Z335">_xlfn.IFS(Y335&lt;0, "Invalid Date", ISBLANK(G335), "Missing Region", TRUE, "Clean")</f>
        <v>Clean</v>
      </c>
    </row>
    <row r="336" spans="1:26">
      <c r="A336" t="s">
        <v>787</v>
      </c>
      <c r="B336" s="4">
        <v>45635</v>
      </c>
      <c r="C336" s="6">
        <v>45552</v>
      </c>
      <c r="D336" t="s">
        <v>2280</v>
      </c>
      <c r="E336" t="s">
        <v>57</v>
      </c>
      <c r="F336" t="s">
        <v>23</v>
      </c>
      <c r="G336" t="s">
        <v>36</v>
      </c>
      <c r="H336" t="s">
        <v>186</v>
      </c>
      <c r="I336" t="s">
        <v>187</v>
      </c>
      <c r="J336" t="s">
        <v>27</v>
      </c>
      <c r="K336" t="s">
        <v>108</v>
      </c>
      <c r="L336" t="s">
        <v>788</v>
      </c>
      <c r="M336" t="s">
        <v>47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31</v>
      </c>
      <c r="U336" t="s">
        <v>32</v>
      </c>
      <c r="V336">
        <f t="shared" si="21"/>
        <v>12969.922500000001</v>
      </c>
      <c r="W336">
        <f t="shared" si="22"/>
        <v>3571.4625000000015</v>
      </c>
      <c r="X336">
        <f t="shared" si="23"/>
        <v>27.536498386941027</v>
      </c>
      <c r="Y336">
        <f t="shared" si="24"/>
        <v>-83</v>
      </c>
      <c r="Z336" t="str" cm="1">
        <f t="array" ref="Z336">_xlfn.IFS(Y336&lt;0, "Invalid Date", ISBLANK(G336), "Missing Region", TRUE, "Clean")</f>
        <v>Invalid Date</v>
      </c>
    </row>
    <row r="337" spans="1:26">
      <c r="A337" t="s">
        <v>789</v>
      </c>
      <c r="B337" s="4">
        <v>45824</v>
      </c>
      <c r="C337" s="6">
        <v>45826</v>
      </c>
      <c r="D337" t="s">
        <v>2199</v>
      </c>
      <c r="E337" t="s">
        <v>103</v>
      </c>
      <c r="F337" t="s">
        <v>85</v>
      </c>
      <c r="G337" t="s">
        <v>58</v>
      </c>
      <c r="H337" t="s">
        <v>66</v>
      </c>
      <c r="I337" t="s">
        <v>67</v>
      </c>
      <c r="J337" t="s">
        <v>27</v>
      </c>
      <c r="K337" t="s">
        <v>28</v>
      </c>
      <c r="L337" t="s">
        <v>791</v>
      </c>
      <c r="M337" t="s">
        <v>47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31</v>
      </c>
      <c r="U337" t="s">
        <v>32</v>
      </c>
      <c r="V337">
        <f t="shared" si="21"/>
        <v>11581.299000000001</v>
      </c>
      <c r="W337">
        <f t="shared" si="22"/>
        <v>4751.8690000000006</v>
      </c>
      <c r="X337">
        <f t="shared" si="23"/>
        <v>41.030535521101733</v>
      </c>
      <c r="Y337">
        <f t="shared" si="24"/>
        <v>2</v>
      </c>
      <c r="Z337" t="str" cm="1">
        <f t="array" ref="Z337">_xlfn.IFS(Y337&lt;0, "Invalid Date", ISBLANK(G337), "Missing Region", TRUE, "Clean")</f>
        <v>Clean</v>
      </c>
    </row>
    <row r="338" spans="1:26">
      <c r="A338" t="s">
        <v>792</v>
      </c>
      <c r="B338" s="4">
        <v>45368</v>
      </c>
      <c r="C338" s="6">
        <v>45372</v>
      </c>
      <c r="D338" t="s">
        <v>2281</v>
      </c>
      <c r="E338" t="s">
        <v>111</v>
      </c>
      <c r="F338" t="s">
        <v>23</v>
      </c>
      <c r="G338" t="s">
        <v>24</v>
      </c>
      <c r="H338" t="s">
        <v>25</v>
      </c>
      <c r="I338" t="s">
        <v>26</v>
      </c>
      <c r="J338" t="s">
        <v>68</v>
      </c>
      <c r="K338" t="s">
        <v>73</v>
      </c>
      <c r="L338" t="s">
        <v>793</v>
      </c>
      <c r="M338" t="s">
        <v>47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31</v>
      </c>
      <c r="U338" t="s">
        <v>32</v>
      </c>
      <c r="V338">
        <f t="shared" si="21"/>
        <v>15940.56</v>
      </c>
      <c r="W338">
        <f t="shared" si="22"/>
        <v>3593.41</v>
      </c>
      <c r="X338">
        <f t="shared" si="23"/>
        <v>22.542558103353961</v>
      </c>
      <c r="Y338">
        <f t="shared" si="24"/>
        <v>4</v>
      </c>
      <c r="Z338" t="str" cm="1">
        <f t="array" ref="Z338">_xlfn.IFS(Y338&lt;0, "Invalid Date", ISBLANK(G338), "Missing Region", TRUE, "Clean")</f>
        <v>Clean</v>
      </c>
    </row>
    <row r="339" spans="1:26">
      <c r="A339" t="s">
        <v>794</v>
      </c>
      <c r="B339" s="4">
        <v>45634</v>
      </c>
      <c r="C339" s="6">
        <v>45522</v>
      </c>
      <c r="D339" t="s">
        <v>2282</v>
      </c>
      <c r="E339" t="s">
        <v>57</v>
      </c>
      <c r="F339" t="s">
        <v>23</v>
      </c>
      <c r="G339" t="s">
        <v>36</v>
      </c>
      <c r="H339" t="s">
        <v>140</v>
      </c>
      <c r="I339" t="s">
        <v>141</v>
      </c>
      <c r="J339" t="s">
        <v>27</v>
      </c>
      <c r="K339" t="s">
        <v>82</v>
      </c>
      <c r="L339" t="s">
        <v>795</v>
      </c>
      <c r="M339" t="s">
        <v>42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31</v>
      </c>
      <c r="U339" t="s">
        <v>32</v>
      </c>
      <c r="V339">
        <f t="shared" si="21"/>
        <v>7090.4400000000005</v>
      </c>
      <c r="W339">
        <f t="shared" si="22"/>
        <v>1418.17</v>
      </c>
      <c r="X339">
        <f t="shared" si="23"/>
        <v>20.001156486762454</v>
      </c>
      <c r="Y339">
        <f t="shared" si="24"/>
        <v>-112</v>
      </c>
      <c r="Z339" t="str" cm="1">
        <f t="array" ref="Z339">_xlfn.IFS(Y339&lt;0, "Invalid Date", ISBLANK(G339), "Missing Region", TRUE, "Clean")</f>
        <v>Invalid Date</v>
      </c>
    </row>
    <row r="340" spans="1:26">
      <c r="A340" t="s">
        <v>796</v>
      </c>
      <c r="B340" s="4">
        <v>45516</v>
      </c>
      <c r="C340" s="6">
        <v>45634</v>
      </c>
      <c r="D340" t="s">
        <v>2283</v>
      </c>
      <c r="E340" t="s">
        <v>49</v>
      </c>
      <c r="F340" t="s">
        <v>35</v>
      </c>
      <c r="G340" t="s">
        <v>50</v>
      </c>
      <c r="H340" t="s">
        <v>76</v>
      </c>
      <c r="I340" t="s">
        <v>77</v>
      </c>
      <c r="J340" t="s">
        <v>68</v>
      </c>
      <c r="K340" t="s">
        <v>69</v>
      </c>
      <c r="L340" t="s">
        <v>797</v>
      </c>
      <c r="M340" t="s">
        <v>47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31</v>
      </c>
      <c r="U340" t="s">
        <v>32</v>
      </c>
      <c r="V340">
        <f t="shared" si="21"/>
        <v>26414.159999999996</v>
      </c>
      <c r="W340">
        <f t="shared" si="22"/>
        <v>4591.6299999999974</v>
      </c>
      <c r="X340">
        <f t="shared" si="23"/>
        <v>17.383214154832096</v>
      </c>
      <c r="Y340">
        <f t="shared" si="24"/>
        <v>118</v>
      </c>
      <c r="Z340" t="str" cm="1">
        <f t="array" ref="Z340">_xlfn.IFS(Y340&lt;0, "Invalid Date", ISBLANK(G340), "Missing Region", TRUE, "Clean")</f>
        <v>Clean</v>
      </c>
    </row>
    <row r="341" spans="1:26">
      <c r="A341" t="s">
        <v>798</v>
      </c>
      <c r="B341" s="4">
        <v>45708</v>
      </c>
      <c r="C341" s="6">
        <v>45710</v>
      </c>
      <c r="D341" t="s">
        <v>2284</v>
      </c>
      <c r="E341" t="s">
        <v>72</v>
      </c>
      <c r="F341" t="s">
        <v>81</v>
      </c>
      <c r="G341" t="s">
        <v>36</v>
      </c>
      <c r="H341" t="s">
        <v>186</v>
      </c>
      <c r="I341" t="s">
        <v>187</v>
      </c>
      <c r="J341" t="s">
        <v>39</v>
      </c>
      <c r="K341" t="s">
        <v>134</v>
      </c>
      <c r="L341" t="s">
        <v>799</v>
      </c>
      <c r="M341" t="s">
        <v>55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31</v>
      </c>
      <c r="U341" t="s">
        <v>32</v>
      </c>
      <c r="V341">
        <f t="shared" si="21"/>
        <v>20900.864000000001</v>
      </c>
      <c r="W341">
        <f t="shared" si="22"/>
        <v>8387.724000000002</v>
      </c>
      <c r="X341">
        <f t="shared" si="23"/>
        <v>40.130991714026756</v>
      </c>
      <c r="Y341">
        <f t="shared" si="24"/>
        <v>2</v>
      </c>
      <c r="Z341" t="str" cm="1">
        <f t="array" ref="Z341">_xlfn.IFS(Y341&lt;0, "Invalid Date", ISBLANK(G341), "Missing Region", TRUE, "Clean")</f>
        <v>Clean</v>
      </c>
    </row>
    <row r="342" spans="1:26">
      <c r="A342" t="s">
        <v>800</v>
      </c>
      <c r="B342" s="4">
        <v>45312</v>
      </c>
      <c r="C342" s="6">
        <v>45320</v>
      </c>
      <c r="D342" t="s">
        <v>2285</v>
      </c>
      <c r="E342" t="s">
        <v>72</v>
      </c>
      <c r="F342" t="s">
        <v>23</v>
      </c>
      <c r="G342" t="s">
        <v>50</v>
      </c>
      <c r="H342" t="s">
        <v>147</v>
      </c>
      <c r="I342" t="s">
        <v>148</v>
      </c>
      <c r="J342" t="s">
        <v>27</v>
      </c>
      <c r="K342" t="s">
        <v>130</v>
      </c>
      <c r="L342" t="s">
        <v>801</v>
      </c>
      <c r="M342" t="s">
        <v>55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31</v>
      </c>
      <c r="U342" t="s">
        <v>32</v>
      </c>
      <c r="V342">
        <f t="shared" si="21"/>
        <v>18261.36</v>
      </c>
      <c r="W342">
        <f t="shared" si="22"/>
        <v>6861.42</v>
      </c>
      <c r="X342">
        <f t="shared" si="23"/>
        <v>37.573433742065212</v>
      </c>
      <c r="Y342">
        <f t="shared" si="24"/>
        <v>8</v>
      </c>
      <c r="Z342" t="str" cm="1">
        <f t="array" ref="Z342">_xlfn.IFS(Y342&lt;0, "Invalid Date", ISBLANK(G342), "Missing Region", TRUE, "Clean")</f>
        <v>Clean</v>
      </c>
    </row>
    <row r="343" spans="1:26">
      <c r="A343" t="s">
        <v>802</v>
      </c>
      <c r="B343" s="4">
        <v>45878</v>
      </c>
      <c r="C343" s="6">
        <v>45909</v>
      </c>
      <c r="D343" t="s">
        <v>2286</v>
      </c>
      <c r="E343" t="s">
        <v>121</v>
      </c>
      <c r="F343" t="s">
        <v>85</v>
      </c>
      <c r="G343" t="s">
        <v>58</v>
      </c>
      <c r="H343" t="s">
        <v>151</v>
      </c>
      <c r="I343" t="s">
        <v>152</v>
      </c>
      <c r="J343" t="s">
        <v>39</v>
      </c>
      <c r="K343" t="s">
        <v>61</v>
      </c>
      <c r="L343" t="s">
        <v>803</v>
      </c>
      <c r="M343" t="s">
        <v>30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31</v>
      </c>
      <c r="U343" t="s">
        <v>32</v>
      </c>
      <c r="V343">
        <f t="shared" si="21"/>
        <v>7524.6269999999995</v>
      </c>
      <c r="W343">
        <f t="shared" si="22"/>
        <v>1295.0269999999991</v>
      </c>
      <c r="X343">
        <f t="shared" si="23"/>
        <v>17.210514222166751</v>
      </c>
      <c r="Y343">
        <f t="shared" si="24"/>
        <v>31</v>
      </c>
      <c r="Z343" t="str" cm="1">
        <f t="array" ref="Z343">_xlfn.IFS(Y343&lt;0, "Invalid Date", ISBLANK(G343), "Missing Region", TRUE, "Clean")</f>
        <v>Clean</v>
      </c>
    </row>
    <row r="344" spans="1:26">
      <c r="A344" t="s">
        <v>804</v>
      </c>
      <c r="B344" s="4">
        <v>45862</v>
      </c>
      <c r="C344" s="6">
        <v>45665</v>
      </c>
      <c r="D344" t="s">
        <v>2287</v>
      </c>
      <c r="E344" t="s">
        <v>212</v>
      </c>
      <c r="F344" t="s">
        <v>35</v>
      </c>
      <c r="G344" t="s">
        <v>36</v>
      </c>
      <c r="H344" t="s">
        <v>186</v>
      </c>
      <c r="I344" t="s">
        <v>187</v>
      </c>
      <c r="J344" t="s">
        <v>27</v>
      </c>
      <c r="K344" t="s">
        <v>130</v>
      </c>
      <c r="L344" t="s">
        <v>805</v>
      </c>
      <c r="M344" t="s">
        <v>47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31</v>
      </c>
      <c r="U344" t="s">
        <v>32</v>
      </c>
      <c r="V344">
        <f t="shared" si="21"/>
        <v>12231.36</v>
      </c>
      <c r="W344">
        <f t="shared" si="22"/>
        <v>3464.4600000000009</v>
      </c>
      <c r="X344">
        <f t="shared" si="23"/>
        <v>28.324405462679547</v>
      </c>
      <c r="Y344">
        <f t="shared" si="24"/>
        <v>-197</v>
      </c>
      <c r="Z344" t="str" cm="1">
        <f t="array" ref="Z344">_xlfn.IFS(Y344&lt;0, "Invalid Date", ISBLANK(G344), "Missing Region", TRUE, "Clean")</f>
        <v>Invalid Date</v>
      </c>
    </row>
    <row r="345" spans="1:26">
      <c r="A345" t="s">
        <v>806</v>
      </c>
      <c r="B345" s="4">
        <v>45933</v>
      </c>
      <c r="C345" s="6">
        <v>45879</v>
      </c>
      <c r="D345" t="s">
        <v>2288</v>
      </c>
      <c r="E345" t="s">
        <v>111</v>
      </c>
      <c r="F345" t="s">
        <v>81</v>
      </c>
      <c r="G345" t="s">
        <v>58</v>
      </c>
      <c r="H345" t="s">
        <v>66</v>
      </c>
      <c r="I345" t="s">
        <v>67</v>
      </c>
      <c r="J345" t="s">
        <v>68</v>
      </c>
      <c r="K345" t="s">
        <v>219</v>
      </c>
      <c r="L345" t="s">
        <v>807</v>
      </c>
      <c r="M345" t="s">
        <v>42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31</v>
      </c>
      <c r="U345" t="s">
        <v>32</v>
      </c>
      <c r="V345">
        <f t="shared" si="21"/>
        <v>31079.7</v>
      </c>
      <c r="W345">
        <f t="shared" si="22"/>
        <v>13321.45</v>
      </c>
      <c r="X345">
        <f t="shared" si="23"/>
        <v>42.862221964819483</v>
      </c>
      <c r="Y345">
        <f t="shared" si="24"/>
        <v>-54</v>
      </c>
      <c r="Z345" t="str" cm="1">
        <f t="array" ref="Z345">_xlfn.IFS(Y345&lt;0, "Invalid Date", ISBLANK(G345), "Missing Region", TRUE, "Clean")</f>
        <v>Invalid Date</v>
      </c>
    </row>
    <row r="346" spans="1:26">
      <c r="A346" t="s">
        <v>808</v>
      </c>
      <c r="B346" s="4">
        <v>45599</v>
      </c>
      <c r="C346" s="6">
        <v>45599</v>
      </c>
      <c r="D346" t="s">
        <v>2289</v>
      </c>
      <c r="E346" t="s">
        <v>100</v>
      </c>
      <c r="F346" t="s">
        <v>23</v>
      </c>
      <c r="G346" t="s">
        <v>24</v>
      </c>
      <c r="H346" t="s">
        <v>106</v>
      </c>
      <c r="I346" t="s">
        <v>107</v>
      </c>
      <c r="J346" t="s">
        <v>39</v>
      </c>
      <c r="K346" t="s">
        <v>134</v>
      </c>
      <c r="L346" t="s">
        <v>809</v>
      </c>
      <c r="M346" t="s">
        <v>42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98</v>
      </c>
      <c r="U346" t="s">
        <v>92</v>
      </c>
      <c r="V346">
        <f t="shared" si="21"/>
        <v>31107.420000000002</v>
      </c>
      <c r="W346">
        <f t="shared" si="22"/>
        <v>10960.760000000002</v>
      </c>
      <c r="X346">
        <f t="shared" si="23"/>
        <v>35.235194689884281</v>
      </c>
      <c r="Y346">
        <f t="shared" si="24"/>
        <v>0</v>
      </c>
      <c r="Z346" t="str" cm="1">
        <f t="array" ref="Z346">_xlfn.IFS(Y346&lt;0, "Invalid Date", ISBLANK(G346), "Missing Region", TRUE, "Clean")</f>
        <v>Clean</v>
      </c>
    </row>
    <row r="347" spans="1:26">
      <c r="A347" t="s">
        <v>810</v>
      </c>
      <c r="B347" s="4">
        <v>45549</v>
      </c>
      <c r="C347" s="6">
        <v>45557</v>
      </c>
      <c r="D347" t="s">
        <v>2290</v>
      </c>
      <c r="E347" t="s">
        <v>22</v>
      </c>
      <c r="F347" t="s">
        <v>23</v>
      </c>
      <c r="G347" t="s">
        <v>58</v>
      </c>
      <c r="H347" t="s">
        <v>66</v>
      </c>
      <c r="I347" t="s">
        <v>67</v>
      </c>
      <c r="J347" t="s">
        <v>39</v>
      </c>
      <c r="K347" t="s">
        <v>53</v>
      </c>
      <c r="L347" t="s">
        <v>811</v>
      </c>
      <c r="M347" t="s">
        <v>30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31</v>
      </c>
      <c r="U347" t="s">
        <v>32</v>
      </c>
      <c r="V347">
        <f t="shared" si="21"/>
        <v>5530.6</v>
      </c>
      <c r="W347">
        <f t="shared" si="22"/>
        <v>1077.4900000000007</v>
      </c>
      <c r="X347">
        <f t="shared" si="23"/>
        <v>19.48233464723539</v>
      </c>
      <c r="Y347">
        <f t="shared" si="24"/>
        <v>8</v>
      </c>
      <c r="Z347" t="str" cm="1">
        <f t="array" ref="Z347">_xlfn.IFS(Y347&lt;0, "Invalid Date", ISBLANK(G347), "Missing Region", TRUE, "Clean")</f>
        <v>Clean</v>
      </c>
    </row>
    <row r="348" spans="1:26">
      <c r="A348" t="s">
        <v>812</v>
      </c>
      <c r="B348" s="4">
        <v>45860</v>
      </c>
      <c r="C348" s="6">
        <v>45866</v>
      </c>
      <c r="D348" t="s">
        <v>2291</v>
      </c>
      <c r="E348" t="s">
        <v>103</v>
      </c>
      <c r="F348" t="s">
        <v>81</v>
      </c>
      <c r="G348" t="s">
        <v>50</v>
      </c>
      <c r="H348" t="s">
        <v>155</v>
      </c>
      <c r="I348" t="s">
        <v>156</v>
      </c>
      <c r="J348" t="s">
        <v>39</v>
      </c>
      <c r="K348" t="s">
        <v>61</v>
      </c>
      <c r="L348" t="s">
        <v>813</v>
      </c>
      <c r="M348" t="s">
        <v>30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31</v>
      </c>
      <c r="U348" t="s">
        <v>32</v>
      </c>
      <c r="V348">
        <f t="shared" si="21"/>
        <v>7715.8080000000009</v>
      </c>
      <c r="W348">
        <f t="shared" si="22"/>
        <v>3457.3880000000008</v>
      </c>
      <c r="X348">
        <f t="shared" si="23"/>
        <v>44.809150253609218</v>
      </c>
      <c r="Y348">
        <f t="shared" si="24"/>
        <v>6</v>
      </c>
      <c r="Z348" t="str" cm="1">
        <f t="array" ref="Z348">_xlfn.IFS(Y348&lt;0, "Invalid Date", ISBLANK(G348), "Missing Region", TRUE, "Clean")</f>
        <v>Clean</v>
      </c>
    </row>
    <row r="349" spans="1:26">
      <c r="A349" t="s">
        <v>814</v>
      </c>
      <c r="B349" s="4">
        <v>45303</v>
      </c>
      <c r="C349" s="6">
        <v>45634</v>
      </c>
      <c r="D349" t="s">
        <v>2292</v>
      </c>
      <c r="E349" t="s">
        <v>111</v>
      </c>
      <c r="F349" t="s">
        <v>35</v>
      </c>
      <c r="G349" t="s">
        <v>58</v>
      </c>
      <c r="H349" t="s">
        <v>159</v>
      </c>
      <c r="I349" t="s">
        <v>160</v>
      </c>
      <c r="J349" t="s">
        <v>39</v>
      </c>
      <c r="K349" t="s">
        <v>61</v>
      </c>
      <c r="L349" t="s">
        <v>815</v>
      </c>
      <c r="M349" t="s">
        <v>30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91</v>
      </c>
      <c r="U349" t="s">
        <v>92</v>
      </c>
      <c r="V349">
        <f t="shared" si="21"/>
        <v>11925.96</v>
      </c>
      <c r="W349">
        <f t="shared" si="22"/>
        <v>1822.4499999999989</v>
      </c>
      <c r="X349">
        <f t="shared" si="23"/>
        <v>15.281369382422874</v>
      </c>
      <c r="Y349">
        <f t="shared" si="24"/>
        <v>331</v>
      </c>
      <c r="Z349" t="str" cm="1">
        <f t="array" ref="Z349">_xlfn.IFS(Y349&lt;0, "Invalid Date", ISBLANK(G349), "Missing Region", TRUE, "Clean")</f>
        <v>Clean</v>
      </c>
    </row>
    <row r="350" spans="1:26">
      <c r="A350" t="s">
        <v>816</v>
      </c>
      <c r="B350" s="4">
        <v>45445</v>
      </c>
      <c r="C350" s="6">
        <v>45450</v>
      </c>
      <c r="D350" t="s">
        <v>2293</v>
      </c>
      <c r="E350" t="s">
        <v>111</v>
      </c>
      <c r="F350" t="s">
        <v>81</v>
      </c>
      <c r="G350" t="s">
        <v>50</v>
      </c>
      <c r="H350" t="s">
        <v>147</v>
      </c>
      <c r="I350" t="s">
        <v>148</v>
      </c>
      <c r="J350" t="s">
        <v>68</v>
      </c>
      <c r="K350" t="s">
        <v>144</v>
      </c>
      <c r="L350" t="s">
        <v>817</v>
      </c>
      <c r="M350" t="s">
        <v>42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31</v>
      </c>
      <c r="U350" t="s">
        <v>32</v>
      </c>
      <c r="V350">
        <f t="shared" si="21"/>
        <v>19306.755000000005</v>
      </c>
      <c r="W350">
        <f t="shared" si="22"/>
        <v>4864.3750000000055</v>
      </c>
      <c r="X350">
        <f t="shared" si="23"/>
        <v>25.195197225012716</v>
      </c>
      <c r="Y350">
        <f t="shared" si="24"/>
        <v>5</v>
      </c>
      <c r="Z350" t="str" cm="1">
        <f t="array" ref="Z350">_xlfn.IFS(Y350&lt;0, "Invalid Date", ISBLANK(G350), "Missing Region", TRUE, "Clean")</f>
        <v>Clean</v>
      </c>
    </row>
    <row r="351" spans="1:26">
      <c r="A351" t="s">
        <v>818</v>
      </c>
      <c r="B351" s="4">
        <v>45927</v>
      </c>
      <c r="C351" s="6">
        <v>45929</v>
      </c>
      <c r="D351" t="s">
        <v>2294</v>
      </c>
      <c r="E351" t="s">
        <v>212</v>
      </c>
      <c r="F351" t="s">
        <v>85</v>
      </c>
      <c r="G351" t="s">
        <v>36</v>
      </c>
      <c r="H351" t="s">
        <v>186</v>
      </c>
      <c r="I351" t="s">
        <v>187</v>
      </c>
      <c r="J351" t="s">
        <v>39</v>
      </c>
      <c r="K351" t="s">
        <v>53</v>
      </c>
      <c r="L351" t="s">
        <v>819</v>
      </c>
      <c r="M351" t="s">
        <v>30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31</v>
      </c>
      <c r="U351" t="s">
        <v>32</v>
      </c>
      <c r="V351">
        <f t="shared" si="21"/>
        <v>19355.962500000001</v>
      </c>
      <c r="W351">
        <f t="shared" si="22"/>
        <v>4343.5125000000007</v>
      </c>
      <c r="X351">
        <f t="shared" si="23"/>
        <v>22.440178317146461</v>
      </c>
      <c r="Y351">
        <f t="shared" si="24"/>
        <v>2</v>
      </c>
      <c r="Z351" t="str" cm="1">
        <f t="array" ref="Z351">_xlfn.IFS(Y351&lt;0, "Invalid Date", ISBLANK(G351), "Missing Region", TRUE, "Clean")</f>
        <v>Clean</v>
      </c>
    </row>
    <row r="352" spans="1:26">
      <c r="A352" t="s">
        <v>820</v>
      </c>
      <c r="B352" s="4">
        <v>45474</v>
      </c>
      <c r="C352" s="6">
        <v>45305</v>
      </c>
      <c r="D352" t="s">
        <v>2295</v>
      </c>
      <c r="E352" t="s">
        <v>114</v>
      </c>
      <c r="F352" t="s">
        <v>35</v>
      </c>
      <c r="G352" t="s">
        <v>36</v>
      </c>
      <c r="H352" t="s">
        <v>186</v>
      </c>
      <c r="I352" t="s">
        <v>187</v>
      </c>
      <c r="J352" t="s">
        <v>39</v>
      </c>
      <c r="K352" t="s">
        <v>53</v>
      </c>
      <c r="L352" t="s">
        <v>821</v>
      </c>
      <c r="M352" t="s">
        <v>30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91</v>
      </c>
      <c r="U352" t="s">
        <v>92</v>
      </c>
      <c r="V352">
        <f t="shared" si="21"/>
        <v>11914.344000000001</v>
      </c>
      <c r="W352">
        <f t="shared" si="22"/>
        <v>2143.1040000000012</v>
      </c>
      <c r="X352">
        <f t="shared" si="23"/>
        <v>17.987595456367561</v>
      </c>
      <c r="Y352">
        <f t="shared" si="24"/>
        <v>-169</v>
      </c>
      <c r="Z352" t="str" cm="1">
        <f t="array" ref="Z352">_xlfn.IFS(Y352&lt;0, "Invalid Date", ISBLANK(G352), "Missing Region", TRUE, "Clean")</f>
        <v>Invalid Date</v>
      </c>
    </row>
    <row r="353" spans="1:26">
      <c r="A353" t="s">
        <v>822</v>
      </c>
      <c r="B353" s="4">
        <v>45800</v>
      </c>
      <c r="C353" s="6">
        <v>45804</v>
      </c>
      <c r="D353" t="s">
        <v>2296</v>
      </c>
      <c r="E353" t="s">
        <v>65</v>
      </c>
      <c r="F353" t="s">
        <v>35</v>
      </c>
      <c r="G353" t="s">
        <v>50</v>
      </c>
      <c r="H353" t="s">
        <v>51</v>
      </c>
      <c r="I353" t="s">
        <v>52</v>
      </c>
      <c r="J353" t="s">
        <v>27</v>
      </c>
      <c r="K353" t="s">
        <v>108</v>
      </c>
      <c r="L353" t="s">
        <v>823</v>
      </c>
      <c r="M353" t="s">
        <v>47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98</v>
      </c>
      <c r="U353" t="s">
        <v>63</v>
      </c>
      <c r="V353">
        <f t="shared" si="21"/>
        <v>3237.4800000000005</v>
      </c>
      <c r="W353">
        <f t="shared" si="22"/>
        <v>1119.1400000000003</v>
      </c>
      <c r="X353">
        <f t="shared" si="23"/>
        <v>34.568244437031275</v>
      </c>
      <c r="Y353">
        <f t="shared" si="24"/>
        <v>4</v>
      </c>
      <c r="Z353" t="str" cm="1">
        <f t="array" ref="Z353">_xlfn.IFS(Y353&lt;0, "Invalid Date", ISBLANK(G353), "Missing Region", TRUE, "Clean")</f>
        <v>Clean</v>
      </c>
    </row>
    <row r="354" spans="1:26">
      <c r="A354" t="s">
        <v>824</v>
      </c>
      <c r="B354" s="4">
        <v>45884</v>
      </c>
      <c r="C354" s="6">
        <v>45886</v>
      </c>
      <c r="D354" t="s">
        <v>2297</v>
      </c>
      <c r="E354" t="s">
        <v>137</v>
      </c>
      <c r="F354" t="s">
        <v>35</v>
      </c>
      <c r="G354" t="s">
        <v>36</v>
      </c>
      <c r="H354" t="s">
        <v>140</v>
      </c>
      <c r="I354" t="s">
        <v>141</v>
      </c>
      <c r="J354" t="s">
        <v>68</v>
      </c>
      <c r="K354" t="s">
        <v>73</v>
      </c>
      <c r="L354" t="s">
        <v>825</v>
      </c>
      <c r="M354" t="s">
        <v>47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31</v>
      </c>
      <c r="U354" t="s">
        <v>32</v>
      </c>
      <c r="V354">
        <f t="shared" si="21"/>
        <v>10734.75</v>
      </c>
      <c r="W354">
        <f t="shared" si="22"/>
        <v>4259.0200000000004</v>
      </c>
      <c r="X354">
        <f t="shared" si="23"/>
        <v>39.675073942103914</v>
      </c>
      <c r="Y354">
        <f t="shared" si="24"/>
        <v>2</v>
      </c>
      <c r="Z354" t="str" cm="1">
        <f t="array" ref="Z354">_xlfn.IFS(Y354&lt;0, "Invalid Date", ISBLANK(G354), "Missing Region", TRUE, "Clean")</f>
        <v>Clean</v>
      </c>
    </row>
    <row r="355" spans="1:26">
      <c r="A355" t="s">
        <v>826</v>
      </c>
      <c r="B355" s="4">
        <v>45709</v>
      </c>
      <c r="C355" s="6">
        <v>45715</v>
      </c>
      <c r="D355" t="s">
        <v>2298</v>
      </c>
      <c r="E355" t="s">
        <v>57</v>
      </c>
      <c r="F355" t="s">
        <v>23</v>
      </c>
      <c r="G355" t="s">
        <v>24</v>
      </c>
      <c r="H355" t="s">
        <v>25</v>
      </c>
      <c r="I355" t="s">
        <v>26</v>
      </c>
      <c r="J355" t="s">
        <v>27</v>
      </c>
      <c r="K355" t="s">
        <v>45</v>
      </c>
      <c r="L355" t="s">
        <v>827</v>
      </c>
      <c r="M355" t="s">
        <v>42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31</v>
      </c>
      <c r="U355" t="s">
        <v>32</v>
      </c>
      <c r="V355">
        <f t="shared" si="21"/>
        <v>10308.024000000001</v>
      </c>
      <c r="W355">
        <f t="shared" si="22"/>
        <v>4485.7140000000009</v>
      </c>
      <c r="X355">
        <f t="shared" si="23"/>
        <v>43.516720566424759</v>
      </c>
      <c r="Y355">
        <f t="shared" si="24"/>
        <v>6</v>
      </c>
      <c r="Z355" t="str" cm="1">
        <f t="array" ref="Z355">_xlfn.IFS(Y355&lt;0, "Invalid Date", ISBLANK(G355), "Missing Region", TRUE, "Clean")</f>
        <v>Clean</v>
      </c>
    </row>
    <row r="356" spans="1:26">
      <c r="A356" t="s">
        <v>828</v>
      </c>
      <c r="B356" s="4">
        <v>45653</v>
      </c>
      <c r="C356" s="6">
        <v>45657</v>
      </c>
      <c r="D356" t="s">
        <v>2299</v>
      </c>
      <c r="E356" t="s">
        <v>212</v>
      </c>
      <c r="F356" t="s">
        <v>81</v>
      </c>
      <c r="G356" t="s">
        <v>24</v>
      </c>
      <c r="H356" t="s">
        <v>106</v>
      </c>
      <c r="I356" t="s">
        <v>107</v>
      </c>
      <c r="J356" t="s">
        <v>39</v>
      </c>
      <c r="K356" t="s">
        <v>53</v>
      </c>
      <c r="L356" t="s">
        <v>829</v>
      </c>
      <c r="M356" t="s">
        <v>55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98</v>
      </c>
      <c r="U356" t="s">
        <v>63</v>
      </c>
      <c r="V356">
        <f t="shared" si="21"/>
        <v>21285.520800000002</v>
      </c>
      <c r="W356">
        <f t="shared" si="22"/>
        <v>8376.6808000000019</v>
      </c>
      <c r="X356">
        <f t="shared" si="23"/>
        <v>39.353891683965756</v>
      </c>
      <c r="Y356">
        <f t="shared" si="24"/>
        <v>4</v>
      </c>
      <c r="Z356" t="str" cm="1">
        <f t="array" ref="Z356">_xlfn.IFS(Y356&lt;0, "Invalid Date", ISBLANK(G356), "Missing Region", TRUE, "Clean")</f>
        <v>Clean</v>
      </c>
    </row>
    <row r="357" spans="1:26">
      <c r="A357" t="s">
        <v>830</v>
      </c>
      <c r="B357" s="4">
        <v>45631</v>
      </c>
      <c r="C357" s="6">
        <v>45540</v>
      </c>
      <c r="D357" t="s">
        <v>2300</v>
      </c>
      <c r="E357" t="s">
        <v>100</v>
      </c>
      <c r="F357" t="s">
        <v>81</v>
      </c>
      <c r="G357" t="s">
        <v>58</v>
      </c>
      <c r="H357" t="s">
        <v>25</v>
      </c>
      <c r="I357" t="s">
        <v>96</v>
      </c>
      <c r="J357" t="s">
        <v>39</v>
      </c>
      <c r="K357" t="s">
        <v>40</v>
      </c>
      <c r="L357" t="s">
        <v>831</v>
      </c>
      <c r="M357" t="s">
        <v>55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98</v>
      </c>
      <c r="U357" t="s">
        <v>63</v>
      </c>
      <c r="V357">
        <f t="shared" si="21"/>
        <v>16017.4</v>
      </c>
      <c r="W357">
        <f t="shared" si="22"/>
        <v>6459.6</v>
      </c>
      <c r="X357">
        <f t="shared" si="23"/>
        <v>40.328642601171225</v>
      </c>
      <c r="Y357">
        <f t="shared" si="24"/>
        <v>-91</v>
      </c>
      <c r="Z357" t="str" cm="1">
        <f t="array" ref="Z357">_xlfn.IFS(Y357&lt;0, "Invalid Date", ISBLANK(G357), "Missing Region", TRUE, "Clean")</f>
        <v>Invalid Date</v>
      </c>
    </row>
    <row r="358" spans="1:26">
      <c r="A358" t="s">
        <v>832</v>
      </c>
      <c r="B358" s="4">
        <v>45835</v>
      </c>
      <c r="C358" s="6">
        <v>45837</v>
      </c>
      <c r="D358" t="s">
        <v>2301</v>
      </c>
      <c r="E358" t="s">
        <v>121</v>
      </c>
      <c r="F358" t="s">
        <v>85</v>
      </c>
      <c r="G358" t="s">
        <v>50</v>
      </c>
      <c r="H358" t="s">
        <v>51</v>
      </c>
      <c r="I358" t="s">
        <v>52</v>
      </c>
      <c r="J358" t="s">
        <v>39</v>
      </c>
      <c r="K358" t="s">
        <v>61</v>
      </c>
      <c r="L358" t="s">
        <v>833</v>
      </c>
      <c r="M358" t="s">
        <v>47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98</v>
      </c>
      <c r="U358" t="s">
        <v>92</v>
      </c>
      <c r="V358">
        <f t="shared" si="21"/>
        <v>2486.8000000000002</v>
      </c>
      <c r="W358">
        <f t="shared" si="22"/>
        <v>355.07000000000016</v>
      </c>
      <c r="X358">
        <f t="shared" si="23"/>
        <v>14.27818883705968</v>
      </c>
      <c r="Y358">
        <f t="shared" si="24"/>
        <v>2</v>
      </c>
      <c r="Z358" t="str" cm="1">
        <f t="array" ref="Z358">_xlfn.IFS(Y358&lt;0, "Invalid Date", ISBLANK(G358), "Missing Region", TRUE, "Clean")</f>
        <v>Clean</v>
      </c>
    </row>
    <row r="359" spans="1:26">
      <c r="A359" t="s">
        <v>834</v>
      </c>
      <c r="B359" s="4">
        <v>45678</v>
      </c>
      <c r="C359" s="6">
        <v>45686</v>
      </c>
      <c r="D359" t="s">
        <v>2302</v>
      </c>
      <c r="E359" t="s">
        <v>34</v>
      </c>
      <c r="F359" t="s">
        <v>85</v>
      </c>
      <c r="G359" t="s">
        <v>50</v>
      </c>
      <c r="H359" t="s">
        <v>76</v>
      </c>
      <c r="I359" t="s">
        <v>77</v>
      </c>
      <c r="J359" t="s">
        <v>68</v>
      </c>
      <c r="K359" t="s">
        <v>219</v>
      </c>
      <c r="L359" t="s">
        <v>835</v>
      </c>
      <c r="M359" t="s">
        <v>30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31</v>
      </c>
      <c r="U359" t="s">
        <v>63</v>
      </c>
      <c r="V359">
        <f t="shared" si="21"/>
        <v>4369.04</v>
      </c>
      <c r="W359">
        <f t="shared" si="22"/>
        <v>652.15999999999985</v>
      </c>
      <c r="X359">
        <f t="shared" si="23"/>
        <v>14.926848918755603</v>
      </c>
      <c r="Y359">
        <f t="shared" si="24"/>
        <v>8</v>
      </c>
      <c r="Z359" t="str" cm="1">
        <f t="array" ref="Z359">_xlfn.IFS(Y359&lt;0, "Invalid Date", ISBLANK(G359), "Missing Region", TRUE, "Clean")</f>
        <v>Clean</v>
      </c>
    </row>
    <row r="360" spans="1:26">
      <c r="A360" t="s">
        <v>836</v>
      </c>
      <c r="B360" s="4">
        <v>45878</v>
      </c>
      <c r="C360" s="6">
        <v>45846</v>
      </c>
      <c r="D360" t="s">
        <v>2303</v>
      </c>
      <c r="E360" t="s">
        <v>65</v>
      </c>
      <c r="F360" t="s">
        <v>85</v>
      </c>
      <c r="G360" t="s">
        <v>58</v>
      </c>
      <c r="H360" t="s">
        <v>151</v>
      </c>
      <c r="I360" t="s">
        <v>152</v>
      </c>
      <c r="J360" t="s">
        <v>39</v>
      </c>
      <c r="K360" t="s">
        <v>134</v>
      </c>
      <c r="L360" t="s">
        <v>837</v>
      </c>
      <c r="M360" t="s">
        <v>30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98</v>
      </c>
      <c r="U360" t="s">
        <v>92</v>
      </c>
      <c r="V360">
        <f t="shared" si="21"/>
        <v>5956.12</v>
      </c>
      <c r="W360">
        <f t="shared" si="22"/>
        <v>1576.9399999999996</v>
      </c>
      <c r="X360">
        <f t="shared" si="23"/>
        <v>26.475960860425907</v>
      </c>
      <c r="Y360">
        <f t="shared" si="24"/>
        <v>-32</v>
      </c>
      <c r="Z360" t="str" cm="1">
        <f t="array" ref="Z360">_xlfn.IFS(Y360&lt;0, "Invalid Date", ISBLANK(G360), "Missing Region", TRUE, "Clean")</f>
        <v>Invalid Date</v>
      </c>
    </row>
    <row r="361" spans="1:26">
      <c r="A361" t="s">
        <v>838</v>
      </c>
      <c r="B361" s="4">
        <v>45525</v>
      </c>
      <c r="C361" s="6">
        <v>45526</v>
      </c>
      <c r="D361" t="s">
        <v>2304</v>
      </c>
      <c r="E361" t="s">
        <v>44</v>
      </c>
      <c r="F361" t="s">
        <v>23</v>
      </c>
      <c r="G361" t="s">
        <v>50</v>
      </c>
      <c r="H361" t="s">
        <v>200</v>
      </c>
      <c r="I361" t="s">
        <v>201</v>
      </c>
      <c r="J361" t="s">
        <v>68</v>
      </c>
      <c r="K361" t="s">
        <v>144</v>
      </c>
      <c r="L361" t="s">
        <v>839</v>
      </c>
      <c r="M361" t="s">
        <v>42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31</v>
      </c>
      <c r="U361" t="s">
        <v>32</v>
      </c>
      <c r="V361">
        <f t="shared" si="21"/>
        <v>4997.3760000000002</v>
      </c>
      <c r="W361">
        <f t="shared" si="22"/>
        <v>2025.9860000000003</v>
      </c>
      <c r="X361">
        <f t="shared" si="23"/>
        <v>40.540995914656015</v>
      </c>
      <c r="Y361">
        <f t="shared" si="24"/>
        <v>1</v>
      </c>
      <c r="Z361" t="str" cm="1">
        <f t="array" ref="Z361">_xlfn.IFS(Y361&lt;0, "Invalid Date", ISBLANK(G361), "Missing Region", TRUE, "Clean")</f>
        <v>Clean</v>
      </c>
    </row>
    <row r="362" spans="1:26">
      <c r="A362" t="s">
        <v>840</v>
      </c>
      <c r="B362" s="4">
        <v>45460</v>
      </c>
      <c r="C362" s="6">
        <v>45463</v>
      </c>
      <c r="D362" t="s">
        <v>2305</v>
      </c>
      <c r="E362" t="s">
        <v>114</v>
      </c>
      <c r="F362" t="s">
        <v>35</v>
      </c>
      <c r="G362" t="s">
        <v>58</v>
      </c>
      <c r="H362" t="s">
        <v>151</v>
      </c>
      <c r="I362" t="s">
        <v>152</v>
      </c>
      <c r="J362" t="s">
        <v>39</v>
      </c>
      <c r="K362" t="s">
        <v>53</v>
      </c>
      <c r="L362" t="s">
        <v>841</v>
      </c>
      <c r="M362" t="s">
        <v>55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91</v>
      </c>
      <c r="U362" t="s">
        <v>63</v>
      </c>
      <c r="V362">
        <f t="shared" si="21"/>
        <v>17669.400000000001</v>
      </c>
      <c r="W362">
        <f t="shared" si="22"/>
        <v>3950.630000000001</v>
      </c>
      <c r="X362">
        <f t="shared" si="23"/>
        <v>22.35859734908939</v>
      </c>
      <c r="Y362">
        <f t="shared" si="24"/>
        <v>3</v>
      </c>
      <c r="Z362" t="str" cm="1">
        <f t="array" ref="Z362">_xlfn.IFS(Y362&lt;0, "Invalid Date", ISBLANK(G362), "Missing Region", TRUE, "Clean")</f>
        <v>Clean</v>
      </c>
    </row>
    <row r="363" spans="1:26">
      <c r="A363" t="s">
        <v>842</v>
      </c>
      <c r="B363" s="4">
        <v>45661</v>
      </c>
      <c r="C363" s="6">
        <v>45692</v>
      </c>
      <c r="D363" t="s">
        <v>2306</v>
      </c>
      <c r="E363" t="s">
        <v>121</v>
      </c>
      <c r="F363" t="s">
        <v>81</v>
      </c>
      <c r="G363" t="s">
        <v>36</v>
      </c>
      <c r="H363" t="s">
        <v>37</v>
      </c>
      <c r="I363" t="s">
        <v>38</v>
      </c>
      <c r="J363" t="s">
        <v>39</v>
      </c>
      <c r="K363" t="s">
        <v>61</v>
      </c>
      <c r="L363" t="s">
        <v>843</v>
      </c>
      <c r="M363" t="s">
        <v>30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98</v>
      </c>
      <c r="U363" t="s">
        <v>92</v>
      </c>
      <c r="V363">
        <f t="shared" si="21"/>
        <v>35615.709000000003</v>
      </c>
      <c r="W363">
        <f t="shared" si="22"/>
        <v>15225.999000000003</v>
      </c>
      <c r="X363">
        <f t="shared" si="23"/>
        <v>42.75079572331412</v>
      </c>
      <c r="Y363">
        <f t="shared" si="24"/>
        <v>31</v>
      </c>
      <c r="Z363" t="str" cm="1">
        <f t="array" ref="Z363">_xlfn.IFS(Y363&lt;0, "Invalid Date", ISBLANK(G363), "Missing Region", TRUE, "Clean")</f>
        <v>Clean</v>
      </c>
    </row>
    <row r="364" spans="1:26">
      <c r="A364" t="s">
        <v>844</v>
      </c>
      <c r="B364" s="4">
        <v>45527</v>
      </c>
      <c r="C364" s="6">
        <v>45529</v>
      </c>
      <c r="D364" t="s">
        <v>2307</v>
      </c>
      <c r="E364" t="s">
        <v>65</v>
      </c>
      <c r="F364" t="s">
        <v>23</v>
      </c>
      <c r="G364" t="s">
        <v>58</v>
      </c>
      <c r="H364" t="s">
        <v>159</v>
      </c>
      <c r="I364" t="s">
        <v>160</v>
      </c>
      <c r="J364" t="s">
        <v>68</v>
      </c>
      <c r="K364" t="s">
        <v>219</v>
      </c>
      <c r="L364" t="s">
        <v>845</v>
      </c>
      <c r="M364" t="s">
        <v>42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31</v>
      </c>
      <c r="U364" t="s">
        <v>32</v>
      </c>
      <c r="V364">
        <f t="shared" si="21"/>
        <v>1866.4079999999999</v>
      </c>
      <c r="W364">
        <f t="shared" si="22"/>
        <v>289.91799999999989</v>
      </c>
      <c r="X364">
        <f t="shared" si="23"/>
        <v>15.533473924243783</v>
      </c>
      <c r="Y364">
        <f t="shared" si="24"/>
        <v>2</v>
      </c>
      <c r="Z364" t="str" cm="1">
        <f t="array" ref="Z364">_xlfn.IFS(Y364&lt;0, "Invalid Date", ISBLANK(G364), "Missing Region", TRUE, "Clean")</f>
        <v>Clean</v>
      </c>
    </row>
    <row r="365" spans="1:26">
      <c r="A365" t="s">
        <v>846</v>
      </c>
      <c r="B365" s="4">
        <v>45845</v>
      </c>
      <c r="C365" s="6">
        <v>45850</v>
      </c>
      <c r="D365" t="s">
        <v>2308</v>
      </c>
      <c r="E365" t="s">
        <v>137</v>
      </c>
      <c r="F365" t="s">
        <v>81</v>
      </c>
      <c r="G365" t="s">
        <v>36</v>
      </c>
      <c r="H365" t="s">
        <v>88</v>
      </c>
      <c r="I365" t="s">
        <v>89</v>
      </c>
      <c r="J365" t="s">
        <v>39</v>
      </c>
      <c r="K365" t="s">
        <v>40</v>
      </c>
      <c r="L365" t="s">
        <v>847</v>
      </c>
      <c r="M365" t="s">
        <v>30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31</v>
      </c>
      <c r="U365" t="s">
        <v>32</v>
      </c>
      <c r="V365">
        <f t="shared" si="21"/>
        <v>6867.6374999999989</v>
      </c>
      <c r="W365">
        <f t="shared" si="22"/>
        <v>1662.2774999999992</v>
      </c>
      <c r="X365">
        <f t="shared" si="23"/>
        <v>24.204502640100028</v>
      </c>
      <c r="Y365">
        <f t="shared" si="24"/>
        <v>5</v>
      </c>
      <c r="Z365" t="str" cm="1">
        <f t="array" ref="Z365">_xlfn.IFS(Y365&lt;0, "Invalid Date", ISBLANK(G365), "Missing Region", TRUE, "Clean")</f>
        <v>Clean</v>
      </c>
    </row>
    <row r="366" spans="1:26">
      <c r="A366" t="s">
        <v>848</v>
      </c>
      <c r="B366" s="4">
        <v>45737</v>
      </c>
      <c r="C366" s="6">
        <v>45740</v>
      </c>
      <c r="D366" t="s">
        <v>2309</v>
      </c>
      <c r="E366" t="s">
        <v>111</v>
      </c>
      <c r="F366" t="s">
        <v>35</v>
      </c>
      <c r="G366" t="s">
        <v>50</v>
      </c>
      <c r="H366" t="s">
        <v>76</v>
      </c>
      <c r="I366" t="s">
        <v>77</v>
      </c>
      <c r="J366" t="s">
        <v>39</v>
      </c>
      <c r="K366" t="s">
        <v>61</v>
      </c>
      <c r="L366" t="s">
        <v>849</v>
      </c>
      <c r="M366" t="s">
        <v>30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31</v>
      </c>
      <c r="U366" t="s">
        <v>32</v>
      </c>
      <c r="V366">
        <f t="shared" si="21"/>
        <v>6195.75</v>
      </c>
      <c r="W366">
        <f t="shared" si="22"/>
        <v>2228.73</v>
      </c>
      <c r="X366">
        <f t="shared" si="23"/>
        <v>35.971916232901584</v>
      </c>
      <c r="Y366">
        <f t="shared" si="24"/>
        <v>3</v>
      </c>
      <c r="Z366" t="str" cm="1">
        <f t="array" ref="Z366">_xlfn.IFS(Y366&lt;0, "Invalid Date", ISBLANK(G366), "Missing Region", TRUE, "Clean")</f>
        <v>Clean</v>
      </c>
    </row>
    <row r="367" spans="1:26">
      <c r="A367" t="s">
        <v>850</v>
      </c>
      <c r="B367" s="4">
        <v>45458</v>
      </c>
      <c r="C367" s="6">
        <v>45464</v>
      </c>
      <c r="D367" t="s">
        <v>2310</v>
      </c>
      <c r="E367" t="s">
        <v>80</v>
      </c>
      <c r="F367" t="s">
        <v>81</v>
      </c>
      <c r="G367" t="s">
        <v>58</v>
      </c>
      <c r="H367" t="s">
        <v>159</v>
      </c>
      <c r="I367" t="s">
        <v>160</v>
      </c>
      <c r="J367" t="s">
        <v>68</v>
      </c>
      <c r="K367" t="s">
        <v>69</v>
      </c>
      <c r="L367" t="s">
        <v>851</v>
      </c>
      <c r="M367" t="s">
        <v>47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31</v>
      </c>
      <c r="U367" t="s">
        <v>32</v>
      </c>
      <c r="V367">
        <f t="shared" si="21"/>
        <v>13651.2</v>
      </c>
      <c r="W367">
        <f t="shared" si="22"/>
        <v>3531.59</v>
      </c>
      <c r="X367">
        <f t="shared" si="23"/>
        <v>25.870179910923579</v>
      </c>
      <c r="Y367">
        <f t="shared" si="24"/>
        <v>6</v>
      </c>
      <c r="Z367" t="str" cm="1">
        <f t="array" ref="Z367">_xlfn.IFS(Y367&lt;0, "Invalid Date", ISBLANK(G367), "Missing Region", TRUE, "Clean")</f>
        <v>Clean</v>
      </c>
    </row>
    <row r="368" spans="1:26">
      <c r="A368" t="s">
        <v>852</v>
      </c>
      <c r="B368" s="4">
        <v>45673</v>
      </c>
      <c r="C368" s="6">
        <v>45679</v>
      </c>
      <c r="D368" t="s">
        <v>2311</v>
      </c>
      <c r="E368" t="s">
        <v>114</v>
      </c>
      <c r="F368" t="s">
        <v>81</v>
      </c>
      <c r="G368" t="s">
        <v>24</v>
      </c>
      <c r="H368" t="s">
        <v>25</v>
      </c>
      <c r="I368" t="s">
        <v>26</v>
      </c>
      <c r="J368" t="s">
        <v>39</v>
      </c>
      <c r="K368" t="s">
        <v>40</v>
      </c>
      <c r="L368" t="s">
        <v>853</v>
      </c>
      <c r="M368" t="s">
        <v>42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31</v>
      </c>
      <c r="U368" t="s">
        <v>32</v>
      </c>
      <c r="V368">
        <f t="shared" si="21"/>
        <v>8836.56</v>
      </c>
      <c r="W368">
        <f t="shared" si="22"/>
        <v>2968.8099999999995</v>
      </c>
      <c r="X368">
        <f t="shared" si="23"/>
        <v>33.596897435201022</v>
      </c>
      <c r="Y368">
        <f t="shared" si="24"/>
        <v>6</v>
      </c>
      <c r="Z368" t="str" cm="1">
        <f t="array" ref="Z368">_xlfn.IFS(Y368&lt;0, "Invalid Date", ISBLANK(G368), "Missing Region", TRUE, "Clean")</f>
        <v>Clean</v>
      </c>
    </row>
    <row r="369" spans="1:26">
      <c r="A369" t="s">
        <v>854</v>
      </c>
      <c r="B369" s="4">
        <v>45366</v>
      </c>
      <c r="C369" s="6">
        <v>45367</v>
      </c>
      <c r="D369" t="s">
        <v>2312</v>
      </c>
      <c r="E369" t="s">
        <v>121</v>
      </c>
      <c r="F369" t="s">
        <v>23</v>
      </c>
      <c r="G369" t="s">
        <v>24</v>
      </c>
      <c r="H369" t="s">
        <v>270</v>
      </c>
      <c r="I369" t="s">
        <v>271</v>
      </c>
      <c r="J369" t="s">
        <v>27</v>
      </c>
      <c r="K369" t="s">
        <v>45</v>
      </c>
      <c r="L369" t="s">
        <v>855</v>
      </c>
      <c r="M369" t="s">
        <v>55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132</v>
      </c>
      <c r="U369" t="s">
        <v>63</v>
      </c>
      <c r="V369">
        <f t="shared" si="21"/>
        <v>19456.958999999999</v>
      </c>
      <c r="W369">
        <f t="shared" si="22"/>
        <v>4936.8989999999994</v>
      </c>
      <c r="X369">
        <f t="shared" si="23"/>
        <v>25.373435797443989</v>
      </c>
      <c r="Y369">
        <f t="shared" si="24"/>
        <v>1</v>
      </c>
      <c r="Z369" t="str" cm="1">
        <f t="array" ref="Z369">_xlfn.IFS(Y369&lt;0, "Invalid Date", ISBLANK(G369), "Missing Region", TRUE, "Clean")</f>
        <v>Clean</v>
      </c>
    </row>
    <row r="370" spans="1:26">
      <c r="A370" t="s">
        <v>856</v>
      </c>
      <c r="B370" s="4">
        <v>45815</v>
      </c>
      <c r="C370" s="6">
        <v>45815</v>
      </c>
      <c r="D370" t="s">
        <v>2313</v>
      </c>
      <c r="E370" t="s">
        <v>111</v>
      </c>
      <c r="F370" t="s">
        <v>85</v>
      </c>
      <c r="G370" t="s">
        <v>24</v>
      </c>
      <c r="H370" t="s">
        <v>25</v>
      </c>
      <c r="I370" t="s">
        <v>26</v>
      </c>
      <c r="J370" t="s">
        <v>68</v>
      </c>
      <c r="K370" t="s">
        <v>69</v>
      </c>
      <c r="L370" t="s">
        <v>857</v>
      </c>
      <c r="M370" t="s">
        <v>42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91</v>
      </c>
      <c r="U370" t="s">
        <v>92</v>
      </c>
      <c r="V370">
        <f t="shared" si="21"/>
        <v>2079.2745</v>
      </c>
      <c r="W370">
        <f t="shared" si="22"/>
        <v>567.10449999999992</v>
      </c>
      <c r="X370">
        <f t="shared" si="23"/>
        <v>27.274152595051781</v>
      </c>
      <c r="Y370">
        <f t="shared" si="24"/>
        <v>0</v>
      </c>
      <c r="Z370" t="str" cm="1">
        <f t="array" ref="Z370">_xlfn.IFS(Y370&lt;0, "Invalid Date", ISBLANK(G370), "Missing Region", TRUE, "Clean")</f>
        <v>Clean</v>
      </c>
    </row>
    <row r="371" spans="1:26">
      <c r="A371" t="s">
        <v>858</v>
      </c>
      <c r="B371" s="4">
        <v>45680</v>
      </c>
      <c r="C371" s="6">
        <v>45687</v>
      </c>
      <c r="D371" t="s">
        <v>2314</v>
      </c>
      <c r="E371" t="s">
        <v>100</v>
      </c>
      <c r="F371" t="s">
        <v>23</v>
      </c>
      <c r="G371" t="s">
        <v>24</v>
      </c>
      <c r="H371" t="s">
        <v>270</v>
      </c>
      <c r="I371" t="s">
        <v>271</v>
      </c>
      <c r="J371" t="s">
        <v>27</v>
      </c>
      <c r="K371" t="s">
        <v>82</v>
      </c>
      <c r="L371" t="s">
        <v>859</v>
      </c>
      <c r="M371" t="s">
        <v>55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31</v>
      </c>
      <c r="U371" t="s">
        <v>32</v>
      </c>
      <c r="V371">
        <f t="shared" si="21"/>
        <v>8945.6804999999986</v>
      </c>
      <c r="W371">
        <f t="shared" si="22"/>
        <v>2205.3304999999982</v>
      </c>
      <c r="X371">
        <f t="shared" si="23"/>
        <v>24.652462157574245</v>
      </c>
      <c r="Y371">
        <f t="shared" si="24"/>
        <v>7</v>
      </c>
      <c r="Z371" t="str" cm="1">
        <f t="array" ref="Z371">_xlfn.IFS(Y371&lt;0, "Invalid Date", ISBLANK(G371), "Missing Region", TRUE, "Clean")</f>
        <v>Clean</v>
      </c>
    </row>
    <row r="372" spans="1:26">
      <c r="A372" t="s">
        <v>860</v>
      </c>
      <c r="B372" s="4">
        <v>45519</v>
      </c>
      <c r="C372" s="6">
        <v>45525</v>
      </c>
      <c r="D372" t="s">
        <v>2315</v>
      </c>
      <c r="E372" t="s">
        <v>57</v>
      </c>
      <c r="F372" t="s">
        <v>35</v>
      </c>
      <c r="G372" t="s">
        <v>58</v>
      </c>
      <c r="H372" t="s">
        <v>25</v>
      </c>
      <c r="I372" t="s">
        <v>96</v>
      </c>
      <c r="J372" t="s">
        <v>68</v>
      </c>
      <c r="K372" t="s">
        <v>73</v>
      </c>
      <c r="L372" t="s">
        <v>861</v>
      </c>
      <c r="M372" t="s">
        <v>47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31</v>
      </c>
      <c r="U372" t="s">
        <v>32</v>
      </c>
      <c r="V372">
        <f t="shared" si="21"/>
        <v>13069.336000000001</v>
      </c>
      <c r="W372">
        <f t="shared" si="22"/>
        <v>4300.746000000001</v>
      </c>
      <c r="X372">
        <f t="shared" si="23"/>
        <v>32.907149988339121</v>
      </c>
      <c r="Y372">
        <f t="shared" si="24"/>
        <v>6</v>
      </c>
      <c r="Z372" t="str" cm="1">
        <f t="array" ref="Z372">_xlfn.IFS(Y372&lt;0, "Invalid Date", ISBLANK(G372), "Missing Region", TRUE, "Clean")</f>
        <v>Clean</v>
      </c>
    </row>
    <row r="373" spans="1:26">
      <c r="A373" t="s">
        <v>862</v>
      </c>
      <c r="B373" s="4">
        <v>45313</v>
      </c>
      <c r="C373" s="6">
        <v>45315</v>
      </c>
      <c r="D373" t="s">
        <v>2126</v>
      </c>
      <c r="E373" t="s">
        <v>137</v>
      </c>
      <c r="F373" t="s">
        <v>85</v>
      </c>
      <c r="G373" t="s">
        <v>58</v>
      </c>
      <c r="H373" t="s">
        <v>59</v>
      </c>
      <c r="I373" t="s">
        <v>60</v>
      </c>
      <c r="J373" t="s">
        <v>27</v>
      </c>
      <c r="K373" t="s">
        <v>45</v>
      </c>
      <c r="L373" t="s">
        <v>863</v>
      </c>
      <c r="M373" t="s">
        <v>55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91</v>
      </c>
      <c r="U373" t="s">
        <v>63</v>
      </c>
      <c r="V373">
        <f t="shared" si="21"/>
        <v>6156.36</v>
      </c>
      <c r="W373">
        <f t="shared" si="22"/>
        <v>3174.4199999999996</v>
      </c>
      <c r="X373">
        <f t="shared" si="23"/>
        <v>51.563261407714947</v>
      </c>
      <c r="Y373">
        <f t="shared" si="24"/>
        <v>2</v>
      </c>
      <c r="Z373" t="str" cm="1">
        <f t="array" ref="Z373">_xlfn.IFS(Y373&lt;0, "Invalid Date", ISBLANK(G373), "Missing Region", TRUE, "Clean")</f>
        <v>Clean</v>
      </c>
    </row>
    <row r="374" spans="1:26">
      <c r="A374" t="s">
        <v>864</v>
      </c>
      <c r="B374" s="4">
        <v>45885</v>
      </c>
      <c r="C374" s="6">
        <v>45887</v>
      </c>
      <c r="D374" t="s">
        <v>2316</v>
      </c>
      <c r="E374" t="s">
        <v>212</v>
      </c>
      <c r="F374" t="s">
        <v>23</v>
      </c>
      <c r="G374" t="s">
        <v>36</v>
      </c>
      <c r="H374" t="s">
        <v>186</v>
      </c>
      <c r="I374" t="s">
        <v>187</v>
      </c>
      <c r="J374" t="s">
        <v>39</v>
      </c>
      <c r="K374" t="s">
        <v>61</v>
      </c>
      <c r="L374" t="s">
        <v>865</v>
      </c>
      <c r="M374" t="s">
        <v>42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31</v>
      </c>
      <c r="U374" t="s">
        <v>32</v>
      </c>
      <c r="V374">
        <f t="shared" si="21"/>
        <v>7651.7999999999993</v>
      </c>
      <c r="W374">
        <f t="shared" si="22"/>
        <v>2480.0199999999995</v>
      </c>
      <c r="X374">
        <f t="shared" si="23"/>
        <v>32.410935988917636</v>
      </c>
      <c r="Y374">
        <f t="shared" si="24"/>
        <v>2</v>
      </c>
      <c r="Z374" t="str" cm="1">
        <f t="array" ref="Z374">_xlfn.IFS(Y374&lt;0, "Invalid Date", ISBLANK(G374), "Missing Region", TRUE, "Clean")</f>
        <v>Clean</v>
      </c>
    </row>
    <row r="375" spans="1:26">
      <c r="A375" t="s">
        <v>866</v>
      </c>
      <c r="B375" s="4">
        <v>45760</v>
      </c>
      <c r="C375" s="6">
        <v>45760</v>
      </c>
      <c r="D375" t="s">
        <v>2317</v>
      </c>
      <c r="E375" t="s">
        <v>114</v>
      </c>
      <c r="F375" t="s">
        <v>35</v>
      </c>
      <c r="G375" t="s">
        <v>24</v>
      </c>
      <c r="H375" t="s">
        <v>117</v>
      </c>
      <c r="I375" t="s">
        <v>118</v>
      </c>
      <c r="J375" t="s">
        <v>27</v>
      </c>
      <c r="K375" t="s">
        <v>108</v>
      </c>
      <c r="L375" t="s">
        <v>867</v>
      </c>
      <c r="M375" t="s">
        <v>30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31</v>
      </c>
      <c r="U375" t="s">
        <v>32</v>
      </c>
      <c r="V375">
        <f t="shared" si="21"/>
        <v>10068.120000000001</v>
      </c>
      <c r="W375">
        <f t="shared" si="22"/>
        <v>1472.75</v>
      </c>
      <c r="X375">
        <f t="shared" si="23"/>
        <v>14.627855051389933</v>
      </c>
      <c r="Y375">
        <f t="shared" si="24"/>
        <v>0</v>
      </c>
      <c r="Z375" t="str" cm="1">
        <f t="array" ref="Z375">_xlfn.IFS(Y375&lt;0, "Invalid Date", ISBLANK(G375), "Missing Region", TRUE, "Clean")</f>
        <v>Clean</v>
      </c>
    </row>
    <row r="376" spans="1:26">
      <c r="A376" t="s">
        <v>868</v>
      </c>
      <c r="B376" s="4">
        <v>45715</v>
      </c>
      <c r="C376" s="6">
        <v>45716</v>
      </c>
      <c r="D376" t="s">
        <v>2318</v>
      </c>
      <c r="E376" t="s">
        <v>80</v>
      </c>
      <c r="F376" t="s">
        <v>35</v>
      </c>
      <c r="G376" t="s">
        <v>24</v>
      </c>
      <c r="H376" t="s">
        <v>117</v>
      </c>
      <c r="I376" t="s">
        <v>118</v>
      </c>
      <c r="J376" t="s">
        <v>27</v>
      </c>
      <c r="K376" t="s">
        <v>82</v>
      </c>
      <c r="L376" t="s">
        <v>869</v>
      </c>
      <c r="M376" t="s">
        <v>55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31</v>
      </c>
      <c r="U376" t="s">
        <v>32</v>
      </c>
      <c r="V376">
        <f t="shared" si="21"/>
        <v>14359.5</v>
      </c>
      <c r="W376">
        <f t="shared" si="22"/>
        <v>6241.79</v>
      </c>
      <c r="X376">
        <f t="shared" si="23"/>
        <v>43.468017688638184</v>
      </c>
      <c r="Y376">
        <f t="shared" si="24"/>
        <v>1</v>
      </c>
      <c r="Z376" t="str" cm="1">
        <f t="array" ref="Z376">_xlfn.IFS(Y376&lt;0, "Invalid Date", ISBLANK(G376), "Missing Region", TRUE, "Clean")</f>
        <v>Clean</v>
      </c>
    </row>
    <row r="377" spans="1:26">
      <c r="A377" t="s">
        <v>870</v>
      </c>
      <c r="B377" s="4">
        <v>45657</v>
      </c>
      <c r="C377" s="6">
        <v>45748</v>
      </c>
      <c r="D377" t="s">
        <v>2319</v>
      </c>
      <c r="E377" t="s">
        <v>65</v>
      </c>
      <c r="F377" t="s">
        <v>23</v>
      </c>
      <c r="G377" t="s">
        <v>24</v>
      </c>
      <c r="H377" t="s">
        <v>270</v>
      </c>
      <c r="I377" t="s">
        <v>271</v>
      </c>
      <c r="J377" t="s">
        <v>39</v>
      </c>
      <c r="K377" t="s">
        <v>61</v>
      </c>
      <c r="L377" t="s">
        <v>871</v>
      </c>
      <c r="M377" t="s">
        <v>42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31</v>
      </c>
      <c r="U377" t="s">
        <v>32</v>
      </c>
      <c r="V377">
        <f t="shared" si="21"/>
        <v>2624.8724999999999</v>
      </c>
      <c r="W377">
        <f t="shared" si="22"/>
        <v>370.99249999999984</v>
      </c>
      <c r="X377">
        <f t="shared" si="23"/>
        <v>14.133734114704612</v>
      </c>
      <c r="Y377">
        <f t="shared" si="24"/>
        <v>91</v>
      </c>
      <c r="Z377" t="str" cm="1">
        <f t="array" ref="Z377">_xlfn.IFS(Y377&lt;0, "Invalid Date", ISBLANK(G377), "Missing Region", TRUE, "Clean")</f>
        <v>Clean</v>
      </c>
    </row>
    <row r="378" spans="1:26">
      <c r="A378" t="s">
        <v>872</v>
      </c>
      <c r="B378" s="4">
        <v>45655</v>
      </c>
      <c r="C378" s="6">
        <v>45657</v>
      </c>
      <c r="D378" t="s">
        <v>2320</v>
      </c>
      <c r="E378" t="s">
        <v>44</v>
      </c>
      <c r="F378" t="s">
        <v>35</v>
      </c>
      <c r="G378" t="s">
        <v>36</v>
      </c>
      <c r="H378" t="s">
        <v>124</v>
      </c>
      <c r="I378" t="s">
        <v>125</v>
      </c>
      <c r="J378" t="s">
        <v>39</v>
      </c>
      <c r="K378" t="s">
        <v>61</v>
      </c>
      <c r="L378" t="s">
        <v>873</v>
      </c>
      <c r="M378" t="s">
        <v>47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31</v>
      </c>
      <c r="U378" t="s">
        <v>32</v>
      </c>
      <c r="V378">
        <f t="shared" si="21"/>
        <v>8854.9440000000013</v>
      </c>
      <c r="W378">
        <f t="shared" si="22"/>
        <v>1420.9940000000015</v>
      </c>
      <c r="X378">
        <f t="shared" si="23"/>
        <v>16.047464557652781</v>
      </c>
      <c r="Y378">
        <f t="shared" si="24"/>
        <v>2</v>
      </c>
      <c r="Z378" t="str" cm="1">
        <f t="array" ref="Z378">_xlfn.IFS(Y378&lt;0, "Invalid Date", ISBLANK(G378), "Missing Region", TRUE, "Clean")</f>
        <v>Clean</v>
      </c>
    </row>
    <row r="379" spans="1:26">
      <c r="A379" t="s">
        <v>874</v>
      </c>
      <c r="B379" s="4">
        <v>45801</v>
      </c>
      <c r="C379" s="6">
        <v>45807</v>
      </c>
      <c r="D379" t="s">
        <v>2321</v>
      </c>
      <c r="E379" t="s">
        <v>212</v>
      </c>
      <c r="F379" t="s">
        <v>35</v>
      </c>
      <c r="G379" t="s">
        <v>36</v>
      </c>
      <c r="H379" t="s">
        <v>37</v>
      </c>
      <c r="I379" t="s">
        <v>38</v>
      </c>
      <c r="J379" t="s">
        <v>27</v>
      </c>
      <c r="K379" t="s">
        <v>875</v>
      </c>
      <c r="L379" t="s">
        <v>876</v>
      </c>
      <c r="M379" t="s">
        <v>42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31</v>
      </c>
      <c r="U379" t="s">
        <v>32</v>
      </c>
      <c r="V379">
        <f t="shared" si="21"/>
        <v>2564.7399999999998</v>
      </c>
      <c r="W379">
        <f t="shared" si="22"/>
        <v>810.15999999999985</v>
      </c>
      <c r="X379">
        <f t="shared" si="23"/>
        <v>31.588387126960232</v>
      </c>
      <c r="Y379">
        <f t="shared" si="24"/>
        <v>6</v>
      </c>
      <c r="Z379" t="str" cm="1">
        <f t="array" ref="Z379">_xlfn.IFS(Y379&lt;0, "Invalid Date", ISBLANK(G379), "Missing Region", TRUE, "Clean")</f>
        <v>Clean</v>
      </c>
    </row>
    <row r="380" spans="1:26">
      <c r="A380" t="s">
        <v>877</v>
      </c>
      <c r="B380" s="4">
        <v>45799</v>
      </c>
      <c r="C380" s="6">
        <v>45799</v>
      </c>
      <c r="D380" t="s">
        <v>2322</v>
      </c>
      <c r="E380" t="s">
        <v>34</v>
      </c>
      <c r="F380" t="s">
        <v>23</v>
      </c>
      <c r="G380" t="s">
        <v>58</v>
      </c>
      <c r="H380" t="s">
        <v>159</v>
      </c>
      <c r="I380" t="s">
        <v>160</v>
      </c>
      <c r="J380" t="s">
        <v>68</v>
      </c>
      <c r="K380" t="s">
        <v>69</v>
      </c>
      <c r="L380" t="s">
        <v>878</v>
      </c>
      <c r="M380" t="s">
        <v>55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31</v>
      </c>
      <c r="U380" t="s">
        <v>32</v>
      </c>
      <c r="V380">
        <f t="shared" si="21"/>
        <v>7821.22</v>
      </c>
      <c r="W380">
        <f t="shared" si="22"/>
        <v>2826.76</v>
      </c>
      <c r="X380">
        <f t="shared" si="23"/>
        <v>36.142187535959863</v>
      </c>
      <c r="Y380">
        <f t="shared" si="24"/>
        <v>0</v>
      </c>
      <c r="Z380" t="str" cm="1">
        <f t="array" ref="Z380">_xlfn.IFS(Y380&lt;0, "Invalid Date", ISBLANK(G380), "Missing Region", TRUE, "Clean")</f>
        <v>Clean</v>
      </c>
    </row>
    <row r="381" spans="1:26">
      <c r="A381" t="s">
        <v>879</v>
      </c>
      <c r="B381" s="4">
        <v>45554</v>
      </c>
      <c r="C381" s="6">
        <v>45558</v>
      </c>
      <c r="D381" t="s">
        <v>2323</v>
      </c>
      <c r="E381" t="s">
        <v>34</v>
      </c>
      <c r="F381" t="s">
        <v>35</v>
      </c>
      <c r="G381" t="s">
        <v>50</v>
      </c>
      <c r="H381" t="s">
        <v>155</v>
      </c>
      <c r="I381" t="s">
        <v>156</v>
      </c>
      <c r="J381" t="s">
        <v>27</v>
      </c>
      <c r="K381" t="s">
        <v>28</v>
      </c>
      <c r="L381" t="s">
        <v>880</v>
      </c>
      <c r="M381" t="s">
        <v>55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31</v>
      </c>
      <c r="U381" t="s">
        <v>32</v>
      </c>
      <c r="V381">
        <f t="shared" si="21"/>
        <v>7956.76</v>
      </c>
      <c r="W381">
        <f t="shared" si="22"/>
        <v>3157.2200000000003</v>
      </c>
      <c r="X381">
        <f t="shared" si="23"/>
        <v>39.679718880549366</v>
      </c>
      <c r="Y381">
        <f t="shared" si="24"/>
        <v>4</v>
      </c>
      <c r="Z381" t="str" cm="1">
        <f t="array" ref="Z381">_xlfn.IFS(Y381&lt;0, "Invalid Date", ISBLANK(G381), "Missing Region", TRUE, "Clean")</f>
        <v>Clean</v>
      </c>
    </row>
    <row r="382" spans="1:26">
      <c r="A382" t="s">
        <v>881</v>
      </c>
      <c r="B382" s="4">
        <v>45477</v>
      </c>
      <c r="C382" s="6">
        <v>45396</v>
      </c>
      <c r="D382" t="s">
        <v>2324</v>
      </c>
      <c r="E382" t="s">
        <v>65</v>
      </c>
      <c r="F382" t="s">
        <v>23</v>
      </c>
      <c r="G382" t="s">
        <v>58</v>
      </c>
      <c r="H382" t="s">
        <v>59</v>
      </c>
      <c r="I382" t="s">
        <v>60</v>
      </c>
      <c r="J382" t="s">
        <v>39</v>
      </c>
      <c r="K382" t="s">
        <v>134</v>
      </c>
      <c r="L382" t="s">
        <v>882</v>
      </c>
      <c r="M382" t="s">
        <v>42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31</v>
      </c>
      <c r="U382" t="s">
        <v>92</v>
      </c>
      <c r="V382">
        <f t="shared" si="21"/>
        <v>8384.4375</v>
      </c>
      <c r="W382">
        <f t="shared" si="22"/>
        <v>3618.4775</v>
      </c>
      <c r="X382">
        <f t="shared" si="23"/>
        <v>43.157069272685256</v>
      </c>
      <c r="Y382">
        <f t="shared" si="24"/>
        <v>-81</v>
      </c>
      <c r="Z382" t="str" cm="1">
        <f t="array" ref="Z382">_xlfn.IFS(Y382&lt;0, "Invalid Date", ISBLANK(G382), "Missing Region", TRUE, "Clean")</f>
        <v>Invalid Date</v>
      </c>
    </row>
    <row r="383" spans="1:26">
      <c r="A383" t="s">
        <v>883</v>
      </c>
      <c r="B383" s="4">
        <v>45919</v>
      </c>
      <c r="C383" s="6">
        <v>45923</v>
      </c>
      <c r="D383" t="s">
        <v>1974</v>
      </c>
      <c r="E383" t="s">
        <v>49</v>
      </c>
      <c r="F383" t="s">
        <v>85</v>
      </c>
      <c r="G383" t="s">
        <v>24</v>
      </c>
      <c r="H383" t="s">
        <v>270</v>
      </c>
      <c r="I383" t="s">
        <v>271</v>
      </c>
      <c r="J383" t="s">
        <v>27</v>
      </c>
      <c r="K383" t="s">
        <v>130</v>
      </c>
      <c r="L383" t="s">
        <v>884</v>
      </c>
      <c r="M383" t="s">
        <v>55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132</v>
      </c>
      <c r="U383" t="s">
        <v>63</v>
      </c>
      <c r="V383">
        <f t="shared" si="21"/>
        <v>16671.169999999998</v>
      </c>
      <c r="W383">
        <f t="shared" si="22"/>
        <v>5837.9799999999977</v>
      </c>
      <c r="X383">
        <f t="shared" si="23"/>
        <v>35.018418023450053</v>
      </c>
      <c r="Y383">
        <f t="shared" si="24"/>
        <v>4</v>
      </c>
      <c r="Z383" t="str" cm="1">
        <f t="array" ref="Z383">_xlfn.IFS(Y383&lt;0, "Invalid Date", ISBLANK(G383), "Missing Region", TRUE, "Clean")</f>
        <v>Clean</v>
      </c>
    </row>
    <row r="384" spans="1:26">
      <c r="A384" t="s">
        <v>885</v>
      </c>
      <c r="B384" s="4">
        <v>45750</v>
      </c>
      <c r="C384" s="6">
        <v>45724</v>
      </c>
      <c r="D384" t="s">
        <v>2325</v>
      </c>
      <c r="E384" t="s">
        <v>49</v>
      </c>
      <c r="F384" t="s">
        <v>35</v>
      </c>
      <c r="G384" t="s">
        <v>36</v>
      </c>
      <c r="H384" t="s">
        <v>124</v>
      </c>
      <c r="I384" t="s">
        <v>125</v>
      </c>
      <c r="J384" t="s">
        <v>886</v>
      </c>
      <c r="K384" t="s">
        <v>144</v>
      </c>
      <c r="L384" t="s">
        <v>887</v>
      </c>
      <c r="M384" t="s">
        <v>47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31</v>
      </c>
      <c r="U384" t="s">
        <v>32</v>
      </c>
      <c r="V384">
        <f t="shared" si="21"/>
        <v>10468.440000000002</v>
      </c>
      <c r="W384">
        <f t="shared" si="22"/>
        <v>2068.5700000000015</v>
      </c>
      <c r="X384">
        <f t="shared" si="23"/>
        <v>19.760059760575608</v>
      </c>
      <c r="Y384">
        <f t="shared" si="24"/>
        <v>-26</v>
      </c>
      <c r="Z384" t="str" cm="1">
        <f t="array" ref="Z384">_xlfn.IFS(Y384&lt;0, "Invalid Date", ISBLANK(G384), "Missing Region", TRUE, "Clean")</f>
        <v>Invalid Date</v>
      </c>
    </row>
    <row r="385" spans="1:26">
      <c r="A385" t="s">
        <v>888</v>
      </c>
      <c r="B385" s="4">
        <v>45836</v>
      </c>
      <c r="C385" s="6">
        <v>45784</v>
      </c>
      <c r="D385" t="s">
        <v>2326</v>
      </c>
      <c r="E385" t="s">
        <v>65</v>
      </c>
      <c r="F385" t="s">
        <v>81</v>
      </c>
      <c r="G385" t="s">
        <v>36</v>
      </c>
      <c r="H385" t="s">
        <v>88</v>
      </c>
      <c r="I385" t="s">
        <v>89</v>
      </c>
      <c r="J385" t="s">
        <v>27</v>
      </c>
      <c r="K385" t="s">
        <v>45</v>
      </c>
      <c r="L385" t="s">
        <v>889</v>
      </c>
      <c r="M385" t="s">
        <v>47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31</v>
      </c>
      <c r="U385" t="s">
        <v>63</v>
      </c>
      <c r="V385">
        <f t="shared" si="21"/>
        <v>4485.5</v>
      </c>
      <c r="W385">
        <f t="shared" si="22"/>
        <v>1353.6399999999999</v>
      </c>
      <c r="X385">
        <f t="shared" si="23"/>
        <v>30.178129528480657</v>
      </c>
      <c r="Y385">
        <f t="shared" si="24"/>
        <v>-52</v>
      </c>
      <c r="Z385" t="str" cm="1">
        <f t="array" ref="Z385">_xlfn.IFS(Y385&lt;0, "Invalid Date", ISBLANK(G385), "Missing Region", TRUE, "Clean")</f>
        <v>Invalid Date</v>
      </c>
    </row>
    <row r="386" spans="1:26">
      <c r="A386" t="s">
        <v>890</v>
      </c>
      <c r="B386" s="4">
        <v>45366</v>
      </c>
      <c r="C386" s="6">
        <v>45371</v>
      </c>
      <c r="D386" t="s">
        <v>2327</v>
      </c>
      <c r="E386" t="s">
        <v>121</v>
      </c>
      <c r="F386" t="s">
        <v>23</v>
      </c>
      <c r="G386" t="s">
        <v>36</v>
      </c>
      <c r="H386" t="s">
        <v>186</v>
      </c>
      <c r="I386" t="s">
        <v>187</v>
      </c>
      <c r="J386" t="s">
        <v>68</v>
      </c>
      <c r="K386" t="s">
        <v>73</v>
      </c>
      <c r="L386" t="s">
        <v>891</v>
      </c>
      <c r="M386" t="s">
        <v>55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31</v>
      </c>
      <c r="U386" t="s">
        <v>92</v>
      </c>
      <c r="V386">
        <f t="shared" si="21"/>
        <v>2822.1000000000004</v>
      </c>
      <c r="W386">
        <f t="shared" si="22"/>
        <v>1197.5300000000004</v>
      </c>
      <c r="X386">
        <f t="shared" si="23"/>
        <v>42.434003047376081</v>
      </c>
      <c r="Y386">
        <f t="shared" si="24"/>
        <v>5</v>
      </c>
      <c r="Z386" t="str" cm="1">
        <f t="array" ref="Z386">_xlfn.IFS(Y386&lt;0, "Invalid Date", ISBLANK(G386), "Missing Region", TRUE, "Clean")</f>
        <v>Clean</v>
      </c>
    </row>
    <row r="387" spans="1:26">
      <c r="A387" t="s">
        <v>892</v>
      </c>
      <c r="B387" s="4">
        <v>45832</v>
      </c>
      <c r="C387" s="6">
        <v>45838</v>
      </c>
      <c r="D387" t="s">
        <v>2328</v>
      </c>
      <c r="E387" t="s">
        <v>49</v>
      </c>
      <c r="F387" t="s">
        <v>23</v>
      </c>
      <c r="G387" t="s">
        <v>24</v>
      </c>
      <c r="H387" t="s">
        <v>192</v>
      </c>
      <c r="I387" t="s">
        <v>193</v>
      </c>
      <c r="J387" t="s">
        <v>27</v>
      </c>
      <c r="K387" t="s">
        <v>82</v>
      </c>
      <c r="L387" t="s">
        <v>893</v>
      </c>
      <c r="M387" t="s">
        <v>55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31</v>
      </c>
      <c r="U387" t="s">
        <v>32</v>
      </c>
      <c r="V387">
        <f t="shared" ref="V387:V450" si="25">N387*O387*(1- P387)</f>
        <v>1975.104</v>
      </c>
      <c r="W387">
        <f t="shared" ref="W387:W450" si="26">V387-R387</f>
        <v>859.75400000000013</v>
      </c>
      <c r="X387">
        <f t="shared" ref="X387:X450" si="27">W387/V387*100</f>
        <v>43.529555911992489</v>
      </c>
      <c r="Y387">
        <f t="shared" si="24"/>
        <v>6</v>
      </c>
      <c r="Z387" t="str" cm="1">
        <f t="array" ref="Z387">_xlfn.IFS(Y387&lt;0, "Invalid Date", ISBLANK(G387), "Missing Region", TRUE, "Clean")</f>
        <v>Clean</v>
      </c>
    </row>
    <row r="388" spans="1:26">
      <c r="A388" t="s">
        <v>894</v>
      </c>
      <c r="B388" s="4">
        <v>45700</v>
      </c>
      <c r="C388" s="6">
        <v>45702</v>
      </c>
      <c r="D388" t="s">
        <v>2329</v>
      </c>
      <c r="E388" t="s">
        <v>114</v>
      </c>
      <c r="F388" t="s">
        <v>23</v>
      </c>
      <c r="G388" t="s">
        <v>58</v>
      </c>
      <c r="H388" t="s">
        <v>59</v>
      </c>
      <c r="I388" t="s">
        <v>60</v>
      </c>
      <c r="J388" t="s">
        <v>39</v>
      </c>
      <c r="K388" t="s">
        <v>53</v>
      </c>
      <c r="L388" t="s">
        <v>895</v>
      </c>
      <c r="M388" t="s">
        <v>30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31</v>
      </c>
      <c r="U388" t="s">
        <v>32</v>
      </c>
      <c r="V388">
        <f t="shared" si="25"/>
        <v>20063.952000000001</v>
      </c>
      <c r="W388">
        <f t="shared" si="26"/>
        <v>5700.5720000000019</v>
      </c>
      <c r="X388">
        <f t="shared" si="27"/>
        <v>28.412009757599112</v>
      </c>
      <c r="Y388">
        <f t="shared" si="24"/>
        <v>2</v>
      </c>
      <c r="Z388" t="str" cm="1">
        <f t="array" ref="Z388">_xlfn.IFS(Y388&lt;0, "Invalid Date", ISBLANK(G388), "Missing Region", TRUE, "Clean")</f>
        <v>Clean</v>
      </c>
    </row>
    <row r="389" spans="1:26">
      <c r="A389" t="s">
        <v>896</v>
      </c>
      <c r="B389" s="4">
        <v>45938</v>
      </c>
      <c r="C389" s="6">
        <v>45882</v>
      </c>
      <c r="D389" t="s">
        <v>2330</v>
      </c>
      <c r="E389" t="s">
        <v>100</v>
      </c>
      <c r="F389" t="s">
        <v>35</v>
      </c>
      <c r="G389" t="s">
        <v>58</v>
      </c>
      <c r="H389" t="s">
        <v>66</v>
      </c>
      <c r="I389" t="s">
        <v>67</v>
      </c>
      <c r="J389" t="s">
        <v>39</v>
      </c>
      <c r="K389" t="s">
        <v>61</v>
      </c>
      <c r="L389" t="s">
        <v>897</v>
      </c>
      <c r="M389" t="s">
        <v>55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98</v>
      </c>
      <c r="U389" t="s">
        <v>63</v>
      </c>
      <c r="V389">
        <f t="shared" si="25"/>
        <v>1764.3000000000002</v>
      </c>
      <c r="W389">
        <f t="shared" si="26"/>
        <v>431.81000000000017</v>
      </c>
      <c r="X389">
        <f t="shared" si="27"/>
        <v>24.474862551720236</v>
      </c>
      <c r="Y389">
        <f t="shared" si="24"/>
        <v>-56</v>
      </c>
      <c r="Z389" t="str" cm="1">
        <f t="array" ref="Z389">_xlfn.IFS(Y389&lt;0, "Invalid Date", ISBLANK(G389), "Missing Region", TRUE, "Clean")</f>
        <v>Invalid Date</v>
      </c>
    </row>
    <row r="390" spans="1:26">
      <c r="A390" t="s">
        <v>898</v>
      </c>
      <c r="B390" s="4">
        <v>45425</v>
      </c>
      <c r="C390" s="6">
        <v>45430</v>
      </c>
      <c r="D390" t="s">
        <v>2331</v>
      </c>
      <c r="E390" t="s">
        <v>44</v>
      </c>
      <c r="F390" t="s">
        <v>35</v>
      </c>
      <c r="G390" t="s">
        <v>58</v>
      </c>
      <c r="H390" t="s">
        <v>151</v>
      </c>
      <c r="I390" t="s">
        <v>152</v>
      </c>
      <c r="J390" t="s">
        <v>39</v>
      </c>
      <c r="K390" t="s">
        <v>61</v>
      </c>
      <c r="L390" t="s">
        <v>899</v>
      </c>
      <c r="M390" t="s">
        <v>55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31</v>
      </c>
      <c r="U390" t="s">
        <v>32</v>
      </c>
      <c r="V390">
        <f t="shared" si="25"/>
        <v>9385.77</v>
      </c>
      <c r="W390">
        <f t="shared" si="26"/>
        <v>2513.3300000000008</v>
      </c>
      <c r="X390">
        <f t="shared" si="27"/>
        <v>26.778090662779942</v>
      </c>
      <c r="Y390">
        <f t="shared" si="24"/>
        <v>5</v>
      </c>
      <c r="Z390" t="str" cm="1">
        <f t="array" ref="Z390">_xlfn.IFS(Y390&lt;0, "Invalid Date", ISBLANK(G390), "Missing Region", TRUE, "Clean")</f>
        <v>Clean</v>
      </c>
    </row>
    <row r="391" spans="1:26">
      <c r="A391" t="s">
        <v>900</v>
      </c>
      <c r="B391" s="4">
        <v>45416</v>
      </c>
      <c r="C391" s="6">
        <v>45395</v>
      </c>
      <c r="D391" t="s">
        <v>2332</v>
      </c>
      <c r="E391" t="s">
        <v>137</v>
      </c>
      <c r="F391" t="s">
        <v>81</v>
      </c>
      <c r="G391" t="s">
        <v>58</v>
      </c>
      <c r="H391" t="s">
        <v>151</v>
      </c>
      <c r="I391" t="s">
        <v>152</v>
      </c>
      <c r="J391" t="s">
        <v>68</v>
      </c>
      <c r="K391" t="s">
        <v>219</v>
      </c>
      <c r="L391" t="s">
        <v>901</v>
      </c>
      <c r="M391" t="s">
        <v>30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98</v>
      </c>
      <c r="U391" t="s">
        <v>63</v>
      </c>
      <c r="V391">
        <f t="shared" si="25"/>
        <v>7750.1600000000008</v>
      </c>
      <c r="W391">
        <f t="shared" si="26"/>
        <v>2315.8600000000006</v>
      </c>
      <c r="X391">
        <f t="shared" si="27"/>
        <v>29.881447608823564</v>
      </c>
      <c r="Y391">
        <f t="shared" ref="Y391:Y454" si="28">C391-B391</f>
        <v>-21</v>
      </c>
      <c r="Z391" t="str" cm="1">
        <f t="array" ref="Z391">_xlfn.IFS(Y391&lt;0, "Invalid Date", ISBLANK(G391), "Missing Region", TRUE, "Clean")</f>
        <v>Invalid Date</v>
      </c>
    </row>
    <row r="392" spans="1:26">
      <c r="A392" t="s">
        <v>902</v>
      </c>
      <c r="B392" s="4">
        <v>45454</v>
      </c>
      <c r="C392" s="6">
        <v>45607</v>
      </c>
      <c r="D392" t="s">
        <v>2333</v>
      </c>
      <c r="E392" t="s">
        <v>44</v>
      </c>
      <c r="F392" t="s">
        <v>23</v>
      </c>
      <c r="G392" t="s">
        <v>58</v>
      </c>
      <c r="H392" t="s">
        <v>151</v>
      </c>
      <c r="I392" t="s">
        <v>152</v>
      </c>
      <c r="J392" t="s">
        <v>39</v>
      </c>
      <c r="K392" t="s">
        <v>53</v>
      </c>
      <c r="L392" t="s">
        <v>903</v>
      </c>
      <c r="M392" t="s">
        <v>55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31</v>
      </c>
      <c r="U392" t="s">
        <v>32</v>
      </c>
      <c r="V392">
        <f t="shared" si="25"/>
        <v>6135.232</v>
      </c>
      <c r="W392">
        <f t="shared" si="26"/>
        <v>2695.442</v>
      </c>
      <c r="X392">
        <f t="shared" si="27"/>
        <v>43.933823529411761</v>
      </c>
      <c r="Y392">
        <f t="shared" si="28"/>
        <v>153</v>
      </c>
      <c r="Z392" t="str" cm="1">
        <f t="array" ref="Z392">_xlfn.IFS(Y392&lt;0, "Invalid Date", ISBLANK(G392), "Missing Region", TRUE, "Clean")</f>
        <v>Clean</v>
      </c>
    </row>
    <row r="393" spans="1:26">
      <c r="A393" t="s">
        <v>904</v>
      </c>
      <c r="B393" s="4">
        <v>45702</v>
      </c>
      <c r="C393" s="6">
        <v>45702</v>
      </c>
      <c r="D393" t="s">
        <v>2334</v>
      </c>
      <c r="E393" t="s">
        <v>137</v>
      </c>
      <c r="F393" t="s">
        <v>23</v>
      </c>
      <c r="G393" t="s">
        <v>50</v>
      </c>
      <c r="H393" t="s">
        <v>147</v>
      </c>
      <c r="I393" t="s">
        <v>148</v>
      </c>
      <c r="J393" t="s">
        <v>27</v>
      </c>
      <c r="K393" t="s">
        <v>108</v>
      </c>
      <c r="L393" t="s">
        <v>905</v>
      </c>
      <c r="M393" t="s">
        <v>47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31</v>
      </c>
      <c r="U393" t="s">
        <v>32</v>
      </c>
      <c r="V393">
        <f t="shared" si="25"/>
        <v>714.43</v>
      </c>
      <c r="W393">
        <f t="shared" si="26"/>
        <v>148.9899999999999</v>
      </c>
      <c r="X393">
        <f t="shared" si="27"/>
        <v>20.854387413742412</v>
      </c>
      <c r="Y393">
        <f t="shared" si="28"/>
        <v>0</v>
      </c>
      <c r="Z393" t="str" cm="1">
        <f t="array" ref="Z393">_xlfn.IFS(Y393&lt;0, "Invalid Date", ISBLANK(G393), "Missing Region", TRUE, "Clean")</f>
        <v>Clean</v>
      </c>
    </row>
    <row r="394" spans="1:26">
      <c r="A394" t="s">
        <v>906</v>
      </c>
      <c r="B394" s="4">
        <v>45341</v>
      </c>
      <c r="C394" s="6">
        <v>45344</v>
      </c>
      <c r="D394" t="s">
        <v>2335</v>
      </c>
      <c r="E394" t="s">
        <v>80</v>
      </c>
      <c r="F394" t="s">
        <v>35</v>
      </c>
      <c r="G394" t="s">
        <v>50</v>
      </c>
      <c r="H394" t="s">
        <v>155</v>
      </c>
      <c r="I394" t="s">
        <v>156</v>
      </c>
      <c r="J394" t="s">
        <v>39</v>
      </c>
      <c r="K394" t="s">
        <v>53</v>
      </c>
      <c r="L394" t="s">
        <v>907</v>
      </c>
      <c r="M394" t="s">
        <v>42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31</v>
      </c>
      <c r="U394" t="s">
        <v>32</v>
      </c>
      <c r="V394">
        <f t="shared" si="25"/>
        <v>36477.090000000004</v>
      </c>
      <c r="W394">
        <f t="shared" si="26"/>
        <v>11951.610000000004</v>
      </c>
      <c r="X394">
        <f t="shared" si="27"/>
        <v>32.764702447481426</v>
      </c>
      <c r="Y394">
        <f t="shared" si="28"/>
        <v>3</v>
      </c>
      <c r="Z394" t="str" cm="1">
        <f t="array" ref="Z394">_xlfn.IFS(Y394&lt;0, "Invalid Date", ISBLANK(G394), "Missing Region", TRUE, "Clean")</f>
        <v>Clean</v>
      </c>
    </row>
    <row r="395" spans="1:26">
      <c r="A395" t="s">
        <v>908</v>
      </c>
      <c r="B395" s="4">
        <v>45527</v>
      </c>
      <c r="C395" s="6">
        <v>45533</v>
      </c>
      <c r="D395" t="s">
        <v>2336</v>
      </c>
      <c r="E395" t="s">
        <v>34</v>
      </c>
      <c r="F395" t="s">
        <v>81</v>
      </c>
      <c r="G395" t="s">
        <v>24</v>
      </c>
      <c r="H395" t="s">
        <v>117</v>
      </c>
      <c r="I395" t="s">
        <v>118</v>
      </c>
      <c r="J395" t="s">
        <v>27</v>
      </c>
      <c r="K395" t="s">
        <v>82</v>
      </c>
      <c r="L395" t="s">
        <v>909</v>
      </c>
      <c r="M395" t="s">
        <v>42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31</v>
      </c>
      <c r="U395" t="s">
        <v>32</v>
      </c>
      <c r="V395">
        <f t="shared" si="25"/>
        <v>3680.1289999999999</v>
      </c>
      <c r="W395">
        <f t="shared" si="26"/>
        <v>712.66899999999987</v>
      </c>
      <c r="X395">
        <f t="shared" si="27"/>
        <v>19.365326595888348</v>
      </c>
      <c r="Y395">
        <f t="shared" si="28"/>
        <v>6</v>
      </c>
      <c r="Z395" t="str" cm="1">
        <f t="array" ref="Z395">_xlfn.IFS(Y395&lt;0, "Invalid Date", ISBLANK(G395), "Missing Region", TRUE, "Clean")</f>
        <v>Clean</v>
      </c>
    </row>
    <row r="396" spans="1:26">
      <c r="A396" t="s">
        <v>910</v>
      </c>
      <c r="B396" s="4">
        <v>45355</v>
      </c>
      <c r="C396" s="6">
        <v>45386</v>
      </c>
      <c r="D396" t="s">
        <v>2337</v>
      </c>
      <c r="E396" t="s">
        <v>212</v>
      </c>
      <c r="F396" t="s">
        <v>23</v>
      </c>
      <c r="G396" t="s">
        <v>58</v>
      </c>
      <c r="H396" t="s">
        <v>59</v>
      </c>
      <c r="I396" t="s">
        <v>60</v>
      </c>
      <c r="J396" t="s">
        <v>39</v>
      </c>
      <c r="K396" t="s">
        <v>53</v>
      </c>
      <c r="L396" t="s">
        <v>911</v>
      </c>
      <c r="M396" t="s">
        <v>47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31</v>
      </c>
      <c r="U396" t="s">
        <v>32</v>
      </c>
      <c r="V396">
        <f t="shared" si="25"/>
        <v>27616.47</v>
      </c>
      <c r="W396">
        <f t="shared" si="26"/>
        <v>6391.2100000000028</v>
      </c>
      <c r="X396">
        <f t="shared" si="27"/>
        <v>23.142747787823726</v>
      </c>
      <c r="Y396">
        <f t="shared" si="28"/>
        <v>31</v>
      </c>
      <c r="Z396" t="str" cm="1">
        <f t="array" ref="Z396">_xlfn.IFS(Y396&lt;0, "Invalid Date", ISBLANK(G396), "Missing Region", TRUE, "Clean")</f>
        <v>Clean</v>
      </c>
    </row>
    <row r="397" spans="1:26">
      <c r="A397" t="s">
        <v>912</v>
      </c>
      <c r="B397" s="4">
        <v>45449</v>
      </c>
      <c r="C397" s="6">
        <v>45450</v>
      </c>
      <c r="D397" t="s">
        <v>2338</v>
      </c>
      <c r="E397" t="s">
        <v>103</v>
      </c>
      <c r="F397" t="s">
        <v>85</v>
      </c>
      <c r="G397" t="s">
        <v>50</v>
      </c>
      <c r="H397" t="s">
        <v>200</v>
      </c>
      <c r="I397" t="s">
        <v>201</v>
      </c>
      <c r="J397" t="s">
        <v>39</v>
      </c>
      <c r="K397" t="s">
        <v>40</v>
      </c>
      <c r="L397" t="s">
        <v>913</v>
      </c>
      <c r="M397" t="s">
        <v>42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31</v>
      </c>
      <c r="U397" t="s">
        <v>32</v>
      </c>
      <c r="V397">
        <f t="shared" si="25"/>
        <v>5731.7014999999992</v>
      </c>
      <c r="W397">
        <f t="shared" si="26"/>
        <v>1616.1414999999988</v>
      </c>
      <c r="X397">
        <f t="shared" si="27"/>
        <v>28.19653989308409</v>
      </c>
      <c r="Y397">
        <f t="shared" si="28"/>
        <v>1</v>
      </c>
      <c r="Z397" t="str" cm="1">
        <f t="array" ref="Z397">_xlfn.IFS(Y397&lt;0, "Invalid Date", ISBLANK(G397), "Missing Region", TRUE, "Clean")</f>
        <v>Clean</v>
      </c>
    </row>
    <row r="398" spans="1:26">
      <c r="A398" t="s">
        <v>914</v>
      </c>
      <c r="B398" s="4">
        <v>45761</v>
      </c>
      <c r="C398" s="6">
        <v>45769</v>
      </c>
      <c r="D398" t="s">
        <v>2339</v>
      </c>
      <c r="E398" t="s">
        <v>80</v>
      </c>
      <c r="F398" t="s">
        <v>35</v>
      </c>
      <c r="G398" t="s">
        <v>50</v>
      </c>
      <c r="H398" t="s">
        <v>147</v>
      </c>
      <c r="I398" t="s">
        <v>148</v>
      </c>
      <c r="J398" t="s">
        <v>68</v>
      </c>
      <c r="K398" t="s">
        <v>219</v>
      </c>
      <c r="L398" t="s">
        <v>915</v>
      </c>
      <c r="M398" t="s">
        <v>55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31</v>
      </c>
      <c r="U398" t="s">
        <v>32</v>
      </c>
      <c r="V398">
        <f t="shared" si="25"/>
        <v>1213.587</v>
      </c>
      <c r="W398">
        <f t="shared" si="26"/>
        <v>257.36699999999996</v>
      </c>
      <c r="X398">
        <f t="shared" si="27"/>
        <v>21.207132245154238</v>
      </c>
      <c r="Y398">
        <f t="shared" si="28"/>
        <v>8</v>
      </c>
      <c r="Z398" t="str" cm="1">
        <f t="array" ref="Z398">_xlfn.IFS(Y398&lt;0, "Invalid Date", ISBLANK(G398), "Missing Region", TRUE, "Clean")</f>
        <v>Clean</v>
      </c>
    </row>
    <row r="399" spans="1:26">
      <c r="A399" t="s">
        <v>916</v>
      </c>
      <c r="B399" s="4">
        <v>45906</v>
      </c>
      <c r="C399" s="6">
        <v>45936</v>
      </c>
      <c r="D399" t="s">
        <v>2340</v>
      </c>
      <c r="E399" t="s">
        <v>114</v>
      </c>
      <c r="F399" t="s">
        <v>35</v>
      </c>
      <c r="G399" t="s">
        <v>24</v>
      </c>
      <c r="H399" t="s">
        <v>117</v>
      </c>
      <c r="I399" t="s">
        <v>118</v>
      </c>
      <c r="J399" t="s">
        <v>39</v>
      </c>
      <c r="K399" t="s">
        <v>40</v>
      </c>
      <c r="L399" t="s">
        <v>917</v>
      </c>
      <c r="M399" t="s">
        <v>30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31</v>
      </c>
      <c r="U399" t="s">
        <v>32</v>
      </c>
      <c r="V399">
        <f t="shared" si="25"/>
        <v>3463.76</v>
      </c>
      <c r="W399">
        <f t="shared" si="26"/>
        <v>1320.0200000000004</v>
      </c>
      <c r="X399">
        <f t="shared" si="27"/>
        <v>38.109453310852956</v>
      </c>
      <c r="Y399">
        <f t="shared" si="28"/>
        <v>30</v>
      </c>
      <c r="Z399" t="str" cm="1">
        <f t="array" ref="Z399">_xlfn.IFS(Y399&lt;0, "Invalid Date", ISBLANK(G399), "Missing Region", TRUE, "Clean")</f>
        <v>Clean</v>
      </c>
    </row>
    <row r="400" spans="1:26">
      <c r="A400" t="s">
        <v>918</v>
      </c>
      <c r="B400" s="4">
        <v>45492</v>
      </c>
      <c r="C400" s="6">
        <v>45499</v>
      </c>
      <c r="D400" t="s">
        <v>2341</v>
      </c>
      <c r="E400" t="s">
        <v>65</v>
      </c>
      <c r="F400" t="s">
        <v>81</v>
      </c>
      <c r="G400" t="s">
        <v>24</v>
      </c>
      <c r="H400" t="s">
        <v>106</v>
      </c>
      <c r="I400" t="s">
        <v>107</v>
      </c>
      <c r="J400" t="s">
        <v>68</v>
      </c>
      <c r="K400" t="s">
        <v>219</v>
      </c>
      <c r="L400" t="s">
        <v>919</v>
      </c>
      <c r="M400" t="s">
        <v>42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31</v>
      </c>
      <c r="U400" t="s">
        <v>32</v>
      </c>
      <c r="V400">
        <f t="shared" si="25"/>
        <v>2021.8400000000001</v>
      </c>
      <c r="W400">
        <f t="shared" si="26"/>
        <v>666.62000000000012</v>
      </c>
      <c r="X400">
        <f t="shared" si="27"/>
        <v>32.970957147944453</v>
      </c>
      <c r="Y400">
        <f t="shared" si="28"/>
        <v>7</v>
      </c>
      <c r="Z400" t="str" cm="1">
        <f t="array" ref="Z400">_xlfn.IFS(Y400&lt;0, "Invalid Date", ISBLANK(G400), "Missing Region", TRUE, "Clean")</f>
        <v>Clean</v>
      </c>
    </row>
    <row r="401" spans="1:26">
      <c r="A401" t="s">
        <v>920</v>
      </c>
      <c r="B401" s="4">
        <v>45771</v>
      </c>
      <c r="C401" s="6">
        <v>45776</v>
      </c>
      <c r="D401" t="s">
        <v>2342</v>
      </c>
      <c r="E401" t="s">
        <v>137</v>
      </c>
      <c r="F401" t="s">
        <v>35</v>
      </c>
      <c r="G401" t="s">
        <v>50</v>
      </c>
      <c r="H401" t="s">
        <v>76</v>
      </c>
      <c r="I401" t="s">
        <v>77</v>
      </c>
      <c r="J401" t="s">
        <v>27</v>
      </c>
      <c r="K401" t="s">
        <v>28</v>
      </c>
      <c r="L401" t="s">
        <v>921</v>
      </c>
      <c r="M401" t="s">
        <v>42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31</v>
      </c>
      <c r="U401" t="s">
        <v>32</v>
      </c>
      <c r="V401">
        <f t="shared" si="25"/>
        <v>3268.875</v>
      </c>
      <c r="W401">
        <f t="shared" si="26"/>
        <v>1275.135</v>
      </c>
      <c r="X401">
        <f t="shared" si="27"/>
        <v>39.008374440747964</v>
      </c>
      <c r="Y401">
        <f t="shared" si="28"/>
        <v>5</v>
      </c>
      <c r="Z401" t="str" cm="1">
        <f t="array" ref="Z401">_xlfn.IFS(Y401&lt;0, "Invalid Date", ISBLANK(G401), "Missing Region", TRUE, "Clean")</f>
        <v>Clean</v>
      </c>
    </row>
    <row r="402" spans="1:26">
      <c r="A402" t="s">
        <v>922</v>
      </c>
      <c r="B402" s="4">
        <v>45814</v>
      </c>
      <c r="C402" s="6">
        <v>45967</v>
      </c>
      <c r="D402" t="s">
        <v>2343</v>
      </c>
      <c r="E402" t="s">
        <v>114</v>
      </c>
      <c r="F402" t="s">
        <v>35</v>
      </c>
      <c r="G402" t="s">
        <v>24</v>
      </c>
      <c r="H402" t="s">
        <v>117</v>
      </c>
      <c r="I402" t="s">
        <v>118</v>
      </c>
      <c r="J402" t="s">
        <v>27</v>
      </c>
      <c r="K402" t="s">
        <v>28</v>
      </c>
      <c r="L402" t="s">
        <v>923</v>
      </c>
      <c r="M402" t="s">
        <v>42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31</v>
      </c>
      <c r="U402" t="s">
        <v>32</v>
      </c>
      <c r="V402">
        <f t="shared" si="25"/>
        <v>6761.2930000000006</v>
      </c>
      <c r="W402">
        <f t="shared" si="26"/>
        <v>1883.9130000000005</v>
      </c>
      <c r="X402">
        <f t="shared" si="27"/>
        <v>27.863206046535776</v>
      </c>
      <c r="Y402">
        <f t="shared" si="28"/>
        <v>153</v>
      </c>
      <c r="Z402" t="str" cm="1">
        <f t="array" ref="Z402">_xlfn.IFS(Y402&lt;0, "Invalid Date", ISBLANK(G402), "Missing Region", TRUE, "Clean")</f>
        <v>Clean</v>
      </c>
    </row>
    <row r="403" spans="1:26">
      <c r="A403" t="s">
        <v>924</v>
      </c>
      <c r="B403" s="4">
        <v>45903</v>
      </c>
      <c r="C403" s="6">
        <v>45732</v>
      </c>
      <c r="D403" t="s">
        <v>2344</v>
      </c>
      <c r="E403" t="s">
        <v>49</v>
      </c>
      <c r="F403" t="s">
        <v>35</v>
      </c>
      <c r="G403" t="s">
        <v>36</v>
      </c>
      <c r="H403" t="s">
        <v>186</v>
      </c>
      <c r="I403" t="s">
        <v>187</v>
      </c>
      <c r="J403" t="s">
        <v>39</v>
      </c>
      <c r="K403" t="s">
        <v>40</v>
      </c>
      <c r="L403" t="s">
        <v>925</v>
      </c>
      <c r="M403" t="s">
        <v>42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31</v>
      </c>
      <c r="U403" t="s">
        <v>32</v>
      </c>
      <c r="V403">
        <f t="shared" si="25"/>
        <v>7877.5499999999993</v>
      </c>
      <c r="W403">
        <f t="shared" si="26"/>
        <v>2314.7799999999988</v>
      </c>
      <c r="X403">
        <f t="shared" si="27"/>
        <v>29.384516759652417</v>
      </c>
      <c r="Y403">
        <f t="shared" si="28"/>
        <v>-171</v>
      </c>
      <c r="Z403" t="str" cm="1">
        <f t="array" ref="Z403">_xlfn.IFS(Y403&lt;0, "Invalid Date", ISBLANK(G403), "Missing Region", TRUE, "Clean")</f>
        <v>Invalid Date</v>
      </c>
    </row>
    <row r="404" spans="1:26">
      <c r="A404" t="s">
        <v>926</v>
      </c>
      <c r="B404" s="4">
        <v>45373</v>
      </c>
      <c r="C404" s="6">
        <v>45373</v>
      </c>
      <c r="D404" t="s">
        <v>2345</v>
      </c>
      <c r="E404" t="s">
        <v>100</v>
      </c>
      <c r="F404" t="s">
        <v>35</v>
      </c>
      <c r="G404" t="s">
        <v>50</v>
      </c>
      <c r="H404" t="s">
        <v>147</v>
      </c>
      <c r="I404" t="s">
        <v>148</v>
      </c>
      <c r="J404" t="s">
        <v>39</v>
      </c>
      <c r="K404" t="s">
        <v>40</v>
      </c>
      <c r="L404" t="s">
        <v>927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31</v>
      </c>
      <c r="U404" t="s">
        <v>32</v>
      </c>
      <c r="V404">
        <f t="shared" si="25"/>
        <v>4095.7799999999997</v>
      </c>
      <c r="W404">
        <f t="shared" si="26"/>
        <v>1288.0099999999998</v>
      </c>
      <c r="X404">
        <f t="shared" si="27"/>
        <v>31.447245701673427</v>
      </c>
      <c r="Y404">
        <f t="shared" si="28"/>
        <v>0</v>
      </c>
      <c r="Z404" t="str" cm="1">
        <f t="array" ref="Z404">_xlfn.IFS(Y404&lt;0, "Invalid Date", ISBLANK(G404), "Missing Region", TRUE, "Clean")</f>
        <v>Clean</v>
      </c>
    </row>
    <row r="405" spans="1:26">
      <c r="A405" t="s">
        <v>928</v>
      </c>
      <c r="B405" s="4">
        <v>45565</v>
      </c>
      <c r="C405" s="6">
        <v>45392</v>
      </c>
      <c r="D405" t="s">
        <v>2346</v>
      </c>
      <c r="E405" t="s">
        <v>49</v>
      </c>
      <c r="F405" t="s">
        <v>35</v>
      </c>
      <c r="G405" t="s">
        <v>50</v>
      </c>
      <c r="H405" t="s">
        <v>155</v>
      </c>
      <c r="I405" t="s">
        <v>156</v>
      </c>
      <c r="J405" t="s">
        <v>27</v>
      </c>
      <c r="K405" t="s">
        <v>929</v>
      </c>
      <c r="L405" t="s">
        <v>930</v>
      </c>
      <c r="M405" t="s">
        <v>42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31</v>
      </c>
      <c r="U405" t="s">
        <v>92</v>
      </c>
      <c r="V405">
        <f t="shared" si="25"/>
        <v>16683.1875</v>
      </c>
      <c r="W405">
        <f t="shared" si="26"/>
        <v>6382.0275000000001</v>
      </c>
      <c r="X405">
        <f t="shared" si="27"/>
        <v>38.254245479168773</v>
      </c>
      <c r="Y405">
        <f t="shared" si="28"/>
        <v>-173</v>
      </c>
      <c r="Z405" t="str" cm="1">
        <f t="array" ref="Z405">_xlfn.IFS(Y405&lt;0, "Invalid Date", ISBLANK(G405), "Missing Region", TRUE, "Clean")</f>
        <v>Invalid Date</v>
      </c>
    </row>
    <row r="406" spans="1:26">
      <c r="A406" t="s">
        <v>931</v>
      </c>
      <c r="B406" s="4">
        <v>45318</v>
      </c>
      <c r="C406" s="6">
        <v>45325</v>
      </c>
      <c r="D406" t="s">
        <v>2347</v>
      </c>
      <c r="E406" t="s">
        <v>80</v>
      </c>
      <c r="F406" t="s">
        <v>81</v>
      </c>
      <c r="G406" t="s">
        <v>58</v>
      </c>
      <c r="H406" t="s">
        <v>25</v>
      </c>
      <c r="I406" t="s">
        <v>96</v>
      </c>
      <c r="J406" t="s">
        <v>39</v>
      </c>
      <c r="K406" t="s">
        <v>61</v>
      </c>
      <c r="L406" t="s">
        <v>932</v>
      </c>
      <c r="M406" t="s">
        <v>42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31</v>
      </c>
      <c r="U406" t="s">
        <v>32</v>
      </c>
      <c r="V406">
        <f t="shared" si="25"/>
        <v>1078.83</v>
      </c>
      <c r="W406">
        <f t="shared" si="26"/>
        <v>152.4799999999999</v>
      </c>
      <c r="X406">
        <f t="shared" si="27"/>
        <v>14.133830167867034</v>
      </c>
      <c r="Y406">
        <f t="shared" si="28"/>
        <v>7</v>
      </c>
      <c r="Z406" t="str" cm="1">
        <f t="array" ref="Z406">_xlfn.IFS(Y406&lt;0, "Invalid Date", ISBLANK(G406), "Missing Region", TRUE, "Clean")</f>
        <v>Clean</v>
      </c>
    </row>
    <row r="407" spans="1:26">
      <c r="A407" t="s">
        <v>933</v>
      </c>
      <c r="B407" s="4">
        <v>45558</v>
      </c>
      <c r="C407" s="6">
        <v>45559</v>
      </c>
      <c r="D407" t="s">
        <v>2348</v>
      </c>
      <c r="E407" t="s">
        <v>80</v>
      </c>
      <c r="F407" t="s">
        <v>85</v>
      </c>
      <c r="G407" t="s">
        <v>58</v>
      </c>
      <c r="H407" t="s">
        <v>151</v>
      </c>
      <c r="I407" t="s">
        <v>152</v>
      </c>
      <c r="J407" t="s">
        <v>39</v>
      </c>
      <c r="K407" t="s">
        <v>134</v>
      </c>
      <c r="L407" t="s">
        <v>934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31</v>
      </c>
      <c r="U407" t="s">
        <v>32</v>
      </c>
      <c r="V407">
        <f t="shared" si="25"/>
        <v>24431.463</v>
      </c>
      <c r="W407">
        <f t="shared" si="26"/>
        <v>6229.1029999999992</v>
      </c>
      <c r="X407">
        <f t="shared" si="27"/>
        <v>25.496234097810678</v>
      </c>
      <c r="Y407">
        <f t="shared" si="28"/>
        <v>1</v>
      </c>
      <c r="Z407" t="str" cm="1">
        <f t="array" ref="Z407">_xlfn.IFS(Y407&lt;0, "Invalid Date", ISBLANK(G407), "Missing Region", TRUE, "Clean")</f>
        <v>Clean</v>
      </c>
    </row>
    <row r="408" spans="1:26">
      <c r="A408" t="s">
        <v>935</v>
      </c>
      <c r="B408" s="4">
        <v>45713</v>
      </c>
      <c r="C408" s="6">
        <v>45713</v>
      </c>
      <c r="D408" t="s">
        <v>2349</v>
      </c>
      <c r="E408" t="s">
        <v>212</v>
      </c>
      <c r="F408" t="s">
        <v>35</v>
      </c>
      <c r="G408" t="s">
        <v>58</v>
      </c>
      <c r="H408" t="s">
        <v>159</v>
      </c>
      <c r="I408" t="s">
        <v>160</v>
      </c>
      <c r="J408" t="s">
        <v>39</v>
      </c>
      <c r="K408" t="s">
        <v>53</v>
      </c>
      <c r="L408" t="s">
        <v>936</v>
      </c>
      <c r="M408" t="s">
        <v>55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98</v>
      </c>
      <c r="U408" t="s">
        <v>92</v>
      </c>
      <c r="V408">
        <f t="shared" si="25"/>
        <v>5886.2999999999993</v>
      </c>
      <c r="W408">
        <f t="shared" si="26"/>
        <v>2264.5399999999991</v>
      </c>
      <c r="X408">
        <f t="shared" si="27"/>
        <v>38.471365713606161</v>
      </c>
      <c r="Y408">
        <f t="shared" si="28"/>
        <v>0</v>
      </c>
      <c r="Z408" t="str" cm="1">
        <f t="array" ref="Z408">_xlfn.IFS(Y408&lt;0, "Invalid Date", ISBLANK(G408), "Missing Region", TRUE, "Clean")</f>
        <v>Clean</v>
      </c>
    </row>
    <row r="409" spans="1:26">
      <c r="A409" t="s">
        <v>937</v>
      </c>
      <c r="B409" s="4">
        <v>45631</v>
      </c>
      <c r="C409" s="6">
        <v>45425</v>
      </c>
      <c r="D409" t="s">
        <v>2350</v>
      </c>
      <c r="E409" t="s">
        <v>103</v>
      </c>
      <c r="F409" t="s">
        <v>81</v>
      </c>
      <c r="G409" t="s">
        <v>58</v>
      </c>
      <c r="H409" t="s">
        <v>159</v>
      </c>
      <c r="I409" t="s">
        <v>160</v>
      </c>
      <c r="J409" t="s">
        <v>27</v>
      </c>
      <c r="K409" t="s">
        <v>82</v>
      </c>
      <c r="L409" t="s">
        <v>938</v>
      </c>
      <c r="M409" t="s">
        <v>30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31</v>
      </c>
      <c r="U409" t="s">
        <v>32</v>
      </c>
      <c r="V409">
        <f t="shared" si="25"/>
        <v>7933.6500000000005</v>
      </c>
      <c r="W409">
        <f t="shared" si="26"/>
        <v>2235.2300000000005</v>
      </c>
      <c r="X409">
        <f t="shared" si="27"/>
        <v>28.174043473054649</v>
      </c>
      <c r="Y409">
        <f t="shared" si="28"/>
        <v>-206</v>
      </c>
      <c r="Z409" t="str" cm="1">
        <f t="array" ref="Z409">_xlfn.IFS(Y409&lt;0, "Invalid Date", ISBLANK(G409), "Missing Region", TRUE, "Clean")</f>
        <v>Invalid Date</v>
      </c>
    </row>
    <row r="410" spans="1:26">
      <c r="A410" t="s">
        <v>939</v>
      </c>
      <c r="B410" s="4">
        <v>45870</v>
      </c>
      <c r="C410" s="6">
        <v>45872</v>
      </c>
      <c r="D410" t="s">
        <v>2351</v>
      </c>
      <c r="E410" t="s">
        <v>114</v>
      </c>
      <c r="F410" t="s">
        <v>23</v>
      </c>
      <c r="G410" t="s">
        <v>58</v>
      </c>
      <c r="H410" t="s">
        <v>59</v>
      </c>
      <c r="I410" t="s">
        <v>60</v>
      </c>
      <c r="J410" t="s">
        <v>39</v>
      </c>
      <c r="K410" t="s">
        <v>61</v>
      </c>
      <c r="L410" t="s">
        <v>940</v>
      </c>
      <c r="M410" t="s">
        <v>47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132</v>
      </c>
      <c r="U410" t="s">
        <v>92</v>
      </c>
      <c r="V410">
        <f t="shared" si="25"/>
        <v>7093.84</v>
      </c>
      <c r="W410">
        <f t="shared" si="26"/>
        <v>2506.3500000000004</v>
      </c>
      <c r="X410">
        <f t="shared" si="27"/>
        <v>35.331357910525192</v>
      </c>
      <c r="Y410">
        <f t="shared" si="28"/>
        <v>2</v>
      </c>
      <c r="Z410" t="str" cm="1">
        <f t="array" ref="Z410">_xlfn.IFS(Y410&lt;0, "Invalid Date", ISBLANK(G410), "Missing Region", TRUE, "Clean")</f>
        <v>Clean</v>
      </c>
    </row>
    <row r="411" spans="1:26">
      <c r="A411" t="s">
        <v>941</v>
      </c>
      <c r="B411" s="4">
        <v>45701</v>
      </c>
      <c r="C411" s="6">
        <v>45703</v>
      </c>
      <c r="D411" t="s">
        <v>2352</v>
      </c>
      <c r="E411" t="s">
        <v>22</v>
      </c>
      <c r="F411" t="s">
        <v>23</v>
      </c>
      <c r="G411" t="s">
        <v>36</v>
      </c>
      <c r="H411" t="s">
        <v>140</v>
      </c>
      <c r="I411" t="s">
        <v>141</v>
      </c>
      <c r="J411" t="s">
        <v>68</v>
      </c>
      <c r="K411" t="s">
        <v>69</v>
      </c>
      <c r="L411" t="s">
        <v>942</v>
      </c>
      <c r="M411" t="s">
        <v>42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91</v>
      </c>
      <c r="U411" t="s">
        <v>92</v>
      </c>
      <c r="V411">
        <f t="shared" si="25"/>
        <v>2269.0950000000003</v>
      </c>
      <c r="W411">
        <f t="shared" si="26"/>
        <v>675.50500000000034</v>
      </c>
      <c r="X411">
        <f t="shared" si="27"/>
        <v>29.769798091309539</v>
      </c>
      <c r="Y411">
        <f t="shared" si="28"/>
        <v>2</v>
      </c>
      <c r="Z411" t="str" cm="1">
        <f t="array" ref="Z411">_xlfn.IFS(Y411&lt;0, "Invalid Date", ISBLANK(G411), "Missing Region", TRUE, "Clean")</f>
        <v>Clean</v>
      </c>
    </row>
    <row r="412" spans="1:26">
      <c r="A412" t="s">
        <v>943</v>
      </c>
      <c r="B412" s="4">
        <v>45630</v>
      </c>
      <c r="C412" s="6">
        <v>45402</v>
      </c>
      <c r="D412" t="s">
        <v>2353</v>
      </c>
      <c r="E412" t="s">
        <v>137</v>
      </c>
      <c r="F412" t="s">
        <v>23</v>
      </c>
      <c r="G412" t="s">
        <v>58</v>
      </c>
      <c r="H412" t="s">
        <v>159</v>
      </c>
      <c r="I412" t="s">
        <v>160</v>
      </c>
      <c r="J412" t="s">
        <v>39</v>
      </c>
      <c r="K412" t="s">
        <v>40</v>
      </c>
      <c r="L412" t="s">
        <v>944</v>
      </c>
      <c r="M412" t="s">
        <v>47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31</v>
      </c>
      <c r="U412" t="s">
        <v>32</v>
      </c>
      <c r="V412">
        <f t="shared" si="25"/>
        <v>9378.7919999999995</v>
      </c>
      <c r="W412">
        <f t="shared" si="26"/>
        <v>2604.3119999999999</v>
      </c>
      <c r="X412">
        <f t="shared" si="27"/>
        <v>27.768096360384153</v>
      </c>
      <c r="Y412">
        <f t="shared" si="28"/>
        <v>-228</v>
      </c>
      <c r="Z412" t="str" cm="1">
        <f t="array" ref="Z412">_xlfn.IFS(Y412&lt;0, "Invalid Date", ISBLANK(G412), "Missing Region", TRUE, "Clean")</f>
        <v>Invalid Date</v>
      </c>
    </row>
    <row r="413" spans="1:26">
      <c r="A413" t="s">
        <v>945</v>
      </c>
      <c r="B413" s="4">
        <v>45892</v>
      </c>
      <c r="C413" s="6">
        <v>45897</v>
      </c>
      <c r="D413" t="s">
        <v>2354</v>
      </c>
      <c r="E413" t="s">
        <v>49</v>
      </c>
      <c r="F413" t="s">
        <v>85</v>
      </c>
      <c r="G413" t="s">
        <v>58</v>
      </c>
      <c r="H413" t="s">
        <v>25</v>
      </c>
      <c r="I413" t="s">
        <v>96</v>
      </c>
      <c r="J413" t="s">
        <v>39</v>
      </c>
      <c r="K413" t="s">
        <v>40</v>
      </c>
      <c r="L413" t="s">
        <v>946</v>
      </c>
      <c r="M413" t="s">
        <v>47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132</v>
      </c>
      <c r="U413" t="s">
        <v>92</v>
      </c>
      <c r="V413">
        <f t="shared" si="25"/>
        <v>3334.2480000000005</v>
      </c>
      <c r="W413">
        <f t="shared" si="26"/>
        <v>565.47800000000052</v>
      </c>
      <c r="X413">
        <f t="shared" si="27"/>
        <v>16.959686262089697</v>
      </c>
      <c r="Y413">
        <f t="shared" si="28"/>
        <v>5</v>
      </c>
      <c r="Z413" t="str" cm="1">
        <f t="array" ref="Z413">_xlfn.IFS(Y413&lt;0, "Invalid Date", ISBLANK(G413), "Missing Region", TRUE, "Clean")</f>
        <v>Clean</v>
      </c>
    </row>
    <row r="414" spans="1:26">
      <c r="A414" t="s">
        <v>947</v>
      </c>
      <c r="B414" s="4">
        <v>45313</v>
      </c>
      <c r="C414" s="6">
        <v>45321</v>
      </c>
      <c r="D414" t="s">
        <v>2355</v>
      </c>
      <c r="E414" t="s">
        <v>44</v>
      </c>
      <c r="F414" t="s">
        <v>81</v>
      </c>
      <c r="G414" t="s">
        <v>50</v>
      </c>
      <c r="H414" t="s">
        <v>147</v>
      </c>
      <c r="I414" t="s">
        <v>148</v>
      </c>
      <c r="J414" t="s">
        <v>39</v>
      </c>
      <c r="K414" t="s">
        <v>61</v>
      </c>
      <c r="L414" t="s">
        <v>948</v>
      </c>
      <c r="M414" t="s">
        <v>42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31</v>
      </c>
      <c r="U414" t="s">
        <v>32</v>
      </c>
      <c r="V414">
        <f t="shared" si="25"/>
        <v>1583.5425</v>
      </c>
      <c r="W414">
        <f t="shared" si="26"/>
        <v>569.35249999999996</v>
      </c>
      <c r="X414">
        <f t="shared" si="27"/>
        <v>35.954355503562425</v>
      </c>
      <c r="Y414">
        <f t="shared" si="28"/>
        <v>8</v>
      </c>
      <c r="Z414" t="str" cm="1">
        <f t="array" ref="Z414">_xlfn.IFS(Y414&lt;0, "Invalid Date", ISBLANK(G414), "Missing Region", TRUE, "Clean")</f>
        <v>Clean</v>
      </c>
    </row>
    <row r="415" spans="1:26">
      <c r="A415" t="s">
        <v>949</v>
      </c>
      <c r="B415" s="4">
        <v>45882</v>
      </c>
      <c r="C415" s="6">
        <v>45886</v>
      </c>
      <c r="D415" t="s">
        <v>2356</v>
      </c>
      <c r="E415" t="s">
        <v>72</v>
      </c>
      <c r="F415" t="s">
        <v>85</v>
      </c>
      <c r="G415" t="s">
        <v>58</v>
      </c>
      <c r="H415" t="s">
        <v>66</v>
      </c>
      <c r="I415" t="s">
        <v>67</v>
      </c>
      <c r="J415" t="s">
        <v>68</v>
      </c>
      <c r="K415" t="s">
        <v>69</v>
      </c>
      <c r="L415" t="s">
        <v>950</v>
      </c>
      <c r="M415" t="s">
        <v>30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98</v>
      </c>
      <c r="U415" t="s">
        <v>63</v>
      </c>
      <c r="V415">
        <f t="shared" si="25"/>
        <v>15345.84</v>
      </c>
      <c r="W415">
        <f t="shared" si="26"/>
        <v>4610.51</v>
      </c>
      <c r="X415">
        <f t="shared" si="27"/>
        <v>30.044037993358465</v>
      </c>
      <c r="Y415">
        <f t="shared" si="28"/>
        <v>4</v>
      </c>
      <c r="Z415" t="str" cm="1">
        <f t="array" ref="Z415">_xlfn.IFS(Y415&lt;0, "Invalid Date", ISBLANK(G415), "Missing Region", TRUE, "Clean")</f>
        <v>Clean</v>
      </c>
    </row>
    <row r="416" spans="1:26">
      <c r="A416" t="s">
        <v>951</v>
      </c>
      <c r="B416" s="4">
        <v>45533</v>
      </c>
      <c r="C416" s="6">
        <v>45534</v>
      </c>
      <c r="D416" t="s">
        <v>2357</v>
      </c>
      <c r="E416" t="s">
        <v>49</v>
      </c>
      <c r="F416" t="s">
        <v>85</v>
      </c>
      <c r="G416" t="s">
        <v>36</v>
      </c>
      <c r="H416" t="s">
        <v>140</v>
      </c>
      <c r="I416" t="s">
        <v>141</v>
      </c>
      <c r="J416" t="s">
        <v>27</v>
      </c>
      <c r="K416" t="s">
        <v>108</v>
      </c>
      <c r="L416" t="s">
        <v>952</v>
      </c>
      <c r="M416" t="s">
        <v>47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31</v>
      </c>
      <c r="U416" t="s">
        <v>32</v>
      </c>
      <c r="V416">
        <f t="shared" si="25"/>
        <v>9439.503999999999</v>
      </c>
      <c r="W416">
        <f t="shared" si="26"/>
        <v>3920.1139999999987</v>
      </c>
      <c r="X416">
        <f t="shared" si="27"/>
        <v>41.528813378330035</v>
      </c>
      <c r="Y416">
        <f t="shared" si="28"/>
        <v>1</v>
      </c>
      <c r="Z416" t="str" cm="1">
        <f t="array" ref="Z416">_xlfn.IFS(Y416&lt;0, "Invalid Date", ISBLANK(G416), "Missing Region", TRUE, "Clean")</f>
        <v>Clean</v>
      </c>
    </row>
    <row r="417" spans="1:26">
      <c r="A417" t="s">
        <v>953</v>
      </c>
      <c r="B417" s="4">
        <v>45316</v>
      </c>
      <c r="C417" s="6">
        <v>45318</v>
      </c>
      <c r="D417" t="s">
        <v>2358</v>
      </c>
      <c r="E417" t="s">
        <v>111</v>
      </c>
      <c r="F417" t="s">
        <v>81</v>
      </c>
      <c r="G417" t="s">
        <v>50</v>
      </c>
      <c r="H417" t="s">
        <v>147</v>
      </c>
      <c r="I417" t="s">
        <v>148</v>
      </c>
      <c r="J417" t="s">
        <v>27</v>
      </c>
      <c r="K417" t="s">
        <v>108</v>
      </c>
      <c r="L417" t="s">
        <v>954</v>
      </c>
      <c r="M417" t="s">
        <v>42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31</v>
      </c>
      <c r="U417" t="s">
        <v>92</v>
      </c>
      <c r="V417">
        <f t="shared" si="25"/>
        <v>10277.197</v>
      </c>
      <c r="W417">
        <f t="shared" si="26"/>
        <v>2370.6970000000001</v>
      </c>
      <c r="X417">
        <f t="shared" si="27"/>
        <v>23.067544584384244</v>
      </c>
      <c r="Y417">
        <f t="shared" si="28"/>
        <v>2</v>
      </c>
      <c r="Z417" t="str" cm="1">
        <f t="array" ref="Z417">_xlfn.IFS(Y417&lt;0, "Invalid Date", ISBLANK(G417), "Missing Region", TRUE, "Clean")</f>
        <v>Clean</v>
      </c>
    </row>
    <row r="418" spans="1:26">
      <c r="A418" t="s">
        <v>955</v>
      </c>
      <c r="B418" s="4">
        <v>45870</v>
      </c>
      <c r="C418" s="6">
        <v>45673</v>
      </c>
      <c r="D418" t="s">
        <v>2359</v>
      </c>
      <c r="E418" t="s">
        <v>72</v>
      </c>
      <c r="F418" t="s">
        <v>23</v>
      </c>
      <c r="G418" t="s">
        <v>50</v>
      </c>
      <c r="H418" t="s">
        <v>51</v>
      </c>
      <c r="I418" t="s">
        <v>52</v>
      </c>
      <c r="J418" t="s">
        <v>39</v>
      </c>
      <c r="K418" t="s">
        <v>53</v>
      </c>
      <c r="L418" t="s">
        <v>956</v>
      </c>
      <c r="M418" t="s">
        <v>47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31</v>
      </c>
      <c r="U418" t="s">
        <v>32</v>
      </c>
      <c r="V418">
        <f t="shared" si="25"/>
        <v>3833.7000000000003</v>
      </c>
      <c r="W418">
        <f t="shared" si="26"/>
        <v>947.35000000000036</v>
      </c>
      <c r="X418">
        <f t="shared" si="27"/>
        <v>24.711114589039319</v>
      </c>
      <c r="Y418">
        <f t="shared" si="28"/>
        <v>-197</v>
      </c>
      <c r="Z418" t="str" cm="1">
        <f t="array" ref="Z418">_xlfn.IFS(Y418&lt;0, "Invalid Date", ISBLANK(G418), "Missing Region", TRUE, "Clean")</f>
        <v>Invalid Date</v>
      </c>
    </row>
    <row r="419" spans="1:26">
      <c r="A419" t="s">
        <v>957</v>
      </c>
      <c r="B419" s="4">
        <v>45686</v>
      </c>
      <c r="C419" s="6">
        <v>45693</v>
      </c>
      <c r="D419" t="s">
        <v>2360</v>
      </c>
      <c r="E419" t="s">
        <v>34</v>
      </c>
      <c r="F419" t="s">
        <v>23</v>
      </c>
      <c r="G419" t="s">
        <v>58</v>
      </c>
      <c r="H419" t="s">
        <v>151</v>
      </c>
      <c r="I419" t="s">
        <v>152</v>
      </c>
      <c r="J419" t="s">
        <v>27</v>
      </c>
      <c r="K419" t="s">
        <v>45</v>
      </c>
      <c r="L419" t="s">
        <v>958</v>
      </c>
      <c r="M419" t="s">
        <v>47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31</v>
      </c>
      <c r="U419" t="s">
        <v>32</v>
      </c>
      <c r="V419">
        <f t="shared" si="25"/>
        <v>18542.400000000001</v>
      </c>
      <c r="W419">
        <f t="shared" si="26"/>
        <v>7348.6500000000015</v>
      </c>
      <c r="X419">
        <f t="shared" si="27"/>
        <v>39.631601087237904</v>
      </c>
      <c r="Y419">
        <f t="shared" si="28"/>
        <v>7</v>
      </c>
      <c r="Z419" t="str" cm="1">
        <f t="array" ref="Z419">_xlfn.IFS(Y419&lt;0, "Invalid Date", ISBLANK(G419), "Missing Region", TRUE, "Clean")</f>
        <v>Clean</v>
      </c>
    </row>
    <row r="420" spans="1:26">
      <c r="A420" t="s">
        <v>959</v>
      </c>
      <c r="B420" s="4">
        <v>45605</v>
      </c>
      <c r="C420" s="6">
        <v>45613</v>
      </c>
      <c r="D420" t="s">
        <v>2361</v>
      </c>
      <c r="E420" t="s">
        <v>114</v>
      </c>
      <c r="F420" t="s">
        <v>81</v>
      </c>
      <c r="G420" t="s">
        <v>36</v>
      </c>
      <c r="H420" t="s">
        <v>37</v>
      </c>
      <c r="I420" t="s">
        <v>38</v>
      </c>
      <c r="J420" t="s">
        <v>68</v>
      </c>
      <c r="K420" t="s">
        <v>73</v>
      </c>
      <c r="L420" t="s">
        <v>960</v>
      </c>
      <c r="M420" t="s">
        <v>55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132</v>
      </c>
      <c r="U420" t="s">
        <v>63</v>
      </c>
      <c r="V420">
        <f t="shared" si="25"/>
        <v>21962.400000000001</v>
      </c>
      <c r="W420">
        <f t="shared" si="26"/>
        <v>6630.4100000000017</v>
      </c>
      <c r="X420">
        <f t="shared" si="27"/>
        <v>30.189824427202861</v>
      </c>
      <c r="Y420">
        <f t="shared" si="28"/>
        <v>8</v>
      </c>
      <c r="Z420" t="str" cm="1">
        <f t="array" ref="Z420">_xlfn.IFS(Y420&lt;0, "Invalid Date", ISBLANK(G420), "Missing Region", TRUE, "Clean")</f>
        <v>Clean</v>
      </c>
    </row>
    <row r="421" spans="1:26">
      <c r="A421" t="s">
        <v>961</v>
      </c>
      <c r="B421" s="4">
        <v>45926</v>
      </c>
      <c r="C421" s="6">
        <v>45930</v>
      </c>
      <c r="D421" t="s">
        <v>2362</v>
      </c>
      <c r="E421" t="s">
        <v>114</v>
      </c>
      <c r="F421" t="s">
        <v>85</v>
      </c>
      <c r="G421" t="s">
        <v>24</v>
      </c>
      <c r="H421" t="s">
        <v>192</v>
      </c>
      <c r="I421" t="s">
        <v>193</v>
      </c>
      <c r="J421" t="s">
        <v>68</v>
      </c>
      <c r="K421" t="s">
        <v>144</v>
      </c>
      <c r="L421" t="s">
        <v>962</v>
      </c>
      <c r="M421" t="s">
        <v>42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31</v>
      </c>
      <c r="U421" t="s">
        <v>32</v>
      </c>
      <c r="V421">
        <f t="shared" si="25"/>
        <v>1308.777</v>
      </c>
      <c r="W421">
        <f t="shared" si="26"/>
        <v>465.77700000000004</v>
      </c>
      <c r="X421">
        <f t="shared" si="27"/>
        <v>35.588721378813965</v>
      </c>
      <c r="Y421">
        <f t="shared" si="28"/>
        <v>4</v>
      </c>
      <c r="Z421" t="str" cm="1">
        <f t="array" ref="Z421">_xlfn.IFS(Y421&lt;0, "Invalid Date", ISBLANK(G421), "Missing Region", TRUE, "Clean")</f>
        <v>Clean</v>
      </c>
    </row>
    <row r="422" spans="1:26">
      <c r="A422" t="s">
        <v>963</v>
      </c>
      <c r="B422" s="4">
        <v>45734</v>
      </c>
      <c r="C422" s="6">
        <v>45735</v>
      </c>
      <c r="D422" t="s">
        <v>2363</v>
      </c>
      <c r="E422" t="s">
        <v>44</v>
      </c>
      <c r="F422" t="s">
        <v>81</v>
      </c>
      <c r="G422" t="s">
        <v>50</v>
      </c>
      <c r="H422" t="s">
        <v>200</v>
      </c>
      <c r="I422" t="s">
        <v>201</v>
      </c>
      <c r="J422" t="s">
        <v>68</v>
      </c>
      <c r="K422" t="s">
        <v>219</v>
      </c>
      <c r="L422" t="s">
        <v>964</v>
      </c>
      <c r="M422" t="s">
        <v>55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98</v>
      </c>
      <c r="U422" t="s">
        <v>63</v>
      </c>
      <c r="V422">
        <f t="shared" si="25"/>
        <v>1814.9850000000001</v>
      </c>
      <c r="W422">
        <f t="shared" si="26"/>
        <v>694.92500000000018</v>
      </c>
      <c r="X422">
        <f t="shared" si="27"/>
        <v>38.288195219244244</v>
      </c>
      <c r="Y422">
        <f t="shared" si="28"/>
        <v>1</v>
      </c>
      <c r="Z422" t="str" cm="1">
        <f t="array" ref="Z422">_xlfn.IFS(Y422&lt;0, "Invalid Date", ISBLANK(G422), "Missing Region", TRUE, "Clean")</f>
        <v>Clean</v>
      </c>
    </row>
    <row r="423" spans="1:26">
      <c r="A423" t="s">
        <v>965</v>
      </c>
      <c r="B423" s="4">
        <v>45822</v>
      </c>
      <c r="C423" s="6">
        <v>45827</v>
      </c>
      <c r="D423" t="s">
        <v>2364</v>
      </c>
      <c r="E423" t="s">
        <v>121</v>
      </c>
      <c r="F423" t="s">
        <v>35</v>
      </c>
      <c r="G423" t="s">
        <v>24</v>
      </c>
      <c r="H423" t="s">
        <v>270</v>
      </c>
      <c r="I423" t="s">
        <v>271</v>
      </c>
      <c r="J423" t="s">
        <v>27</v>
      </c>
      <c r="K423" t="s">
        <v>130</v>
      </c>
      <c r="L423" t="s">
        <v>966</v>
      </c>
      <c r="M423" t="s">
        <v>42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98</v>
      </c>
      <c r="U423" t="s">
        <v>92</v>
      </c>
      <c r="V423">
        <f t="shared" si="25"/>
        <v>2489.8800000000006</v>
      </c>
      <c r="W423">
        <f t="shared" si="26"/>
        <v>782.36000000000058</v>
      </c>
      <c r="X423">
        <f t="shared" si="27"/>
        <v>31.421594615001542</v>
      </c>
      <c r="Y423">
        <f t="shared" si="28"/>
        <v>5</v>
      </c>
      <c r="Z423" t="str" cm="1">
        <f t="array" ref="Z423">_xlfn.IFS(Y423&lt;0, "Invalid Date", ISBLANK(G423), "Missing Region", TRUE, "Clean")</f>
        <v>Clean</v>
      </c>
    </row>
    <row r="424" spans="1:26">
      <c r="A424" t="s">
        <v>967</v>
      </c>
      <c r="B424" s="4">
        <v>45903</v>
      </c>
      <c r="C424" s="6">
        <v>45817</v>
      </c>
      <c r="D424" t="s">
        <v>2365</v>
      </c>
      <c r="E424" t="s">
        <v>212</v>
      </c>
      <c r="F424" t="s">
        <v>23</v>
      </c>
      <c r="G424" t="s">
        <v>58</v>
      </c>
      <c r="H424" t="s">
        <v>66</v>
      </c>
      <c r="I424" t="s">
        <v>67</v>
      </c>
      <c r="J424" t="s">
        <v>68</v>
      </c>
      <c r="K424" t="s">
        <v>73</v>
      </c>
      <c r="L424" t="s">
        <v>968</v>
      </c>
      <c r="M424" t="s">
        <v>42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31</v>
      </c>
      <c r="U424" t="s">
        <v>32</v>
      </c>
      <c r="V424">
        <f t="shared" si="25"/>
        <v>4098.6574999999993</v>
      </c>
      <c r="W424">
        <f t="shared" si="26"/>
        <v>1420.5974999999994</v>
      </c>
      <c r="X424">
        <f t="shared" si="27"/>
        <v>34.660068571233374</v>
      </c>
      <c r="Y424">
        <f t="shared" si="28"/>
        <v>-86</v>
      </c>
      <c r="Z424" t="str" cm="1">
        <f t="array" ref="Z424">_xlfn.IFS(Y424&lt;0, "Invalid Date", ISBLANK(G424), "Missing Region", TRUE, "Clean")</f>
        <v>Invalid Date</v>
      </c>
    </row>
    <row r="425" spans="1:26">
      <c r="A425" t="s">
        <v>969</v>
      </c>
      <c r="B425" s="4">
        <v>45342</v>
      </c>
      <c r="C425" s="6">
        <v>45349</v>
      </c>
      <c r="D425" t="s">
        <v>2366</v>
      </c>
      <c r="E425" t="s">
        <v>137</v>
      </c>
      <c r="F425" t="s">
        <v>23</v>
      </c>
      <c r="G425" t="s">
        <v>50</v>
      </c>
      <c r="H425" t="s">
        <v>155</v>
      </c>
      <c r="I425" t="s">
        <v>156</v>
      </c>
      <c r="J425" t="s">
        <v>68</v>
      </c>
      <c r="K425" t="s">
        <v>69</v>
      </c>
      <c r="L425" t="s">
        <v>970</v>
      </c>
      <c r="M425" t="s">
        <v>971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31</v>
      </c>
      <c r="U425" t="s">
        <v>32</v>
      </c>
      <c r="V425">
        <f t="shared" si="25"/>
        <v>27211.032000000003</v>
      </c>
      <c r="W425">
        <f t="shared" si="26"/>
        <v>9270.6020000000026</v>
      </c>
      <c r="X425">
        <f t="shared" si="27"/>
        <v>34.069277490100347</v>
      </c>
      <c r="Y425">
        <f t="shared" si="28"/>
        <v>7</v>
      </c>
      <c r="Z425" t="str" cm="1">
        <f t="array" ref="Z425">_xlfn.IFS(Y425&lt;0, "Invalid Date", ISBLANK(G425), "Missing Region", TRUE, "Clean")</f>
        <v>Clean</v>
      </c>
    </row>
    <row r="426" spans="1:26">
      <c r="A426" t="s">
        <v>972</v>
      </c>
      <c r="B426" s="4">
        <v>45469</v>
      </c>
      <c r="C426" s="6">
        <v>45472</v>
      </c>
      <c r="D426" t="s">
        <v>2367</v>
      </c>
      <c r="E426" t="s">
        <v>72</v>
      </c>
      <c r="F426" t="s">
        <v>81</v>
      </c>
      <c r="G426" t="s">
        <v>24</v>
      </c>
      <c r="H426" t="s">
        <v>106</v>
      </c>
      <c r="I426" t="s">
        <v>107</v>
      </c>
      <c r="J426" t="s">
        <v>68</v>
      </c>
      <c r="K426" t="s">
        <v>144</v>
      </c>
      <c r="L426" t="s">
        <v>973</v>
      </c>
      <c r="M426" t="s">
        <v>55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31</v>
      </c>
      <c r="U426" t="s">
        <v>32</v>
      </c>
      <c r="V426">
        <f t="shared" si="25"/>
        <v>6436.16</v>
      </c>
      <c r="W426">
        <f t="shared" si="26"/>
        <v>2172.33</v>
      </c>
      <c r="X426">
        <f t="shared" si="27"/>
        <v>33.75195768905683</v>
      </c>
      <c r="Y426">
        <f t="shared" si="28"/>
        <v>3</v>
      </c>
      <c r="Z426" t="str" cm="1">
        <f t="array" ref="Z426">_xlfn.IFS(Y426&lt;0, "Invalid Date", ISBLANK(G426), "Missing Region", TRUE, "Clean")</f>
        <v>Clean</v>
      </c>
    </row>
    <row r="427" spans="1:26">
      <c r="A427" t="s">
        <v>974</v>
      </c>
      <c r="B427" s="4">
        <v>45561</v>
      </c>
      <c r="C427" s="6">
        <v>45562</v>
      </c>
      <c r="D427" t="s">
        <v>2368</v>
      </c>
      <c r="E427" t="s">
        <v>44</v>
      </c>
      <c r="F427" t="s">
        <v>85</v>
      </c>
      <c r="G427" t="s">
        <v>24</v>
      </c>
      <c r="H427" t="s">
        <v>270</v>
      </c>
      <c r="I427" t="s">
        <v>271</v>
      </c>
      <c r="J427" t="s">
        <v>27</v>
      </c>
      <c r="K427" t="s">
        <v>82</v>
      </c>
      <c r="L427" t="s">
        <v>975</v>
      </c>
      <c r="M427" t="s">
        <v>47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91</v>
      </c>
      <c r="U427" t="s">
        <v>63</v>
      </c>
      <c r="V427">
        <f t="shared" si="25"/>
        <v>1918.2420000000002</v>
      </c>
      <c r="W427">
        <f t="shared" si="26"/>
        <v>544.72200000000021</v>
      </c>
      <c r="X427">
        <f t="shared" si="27"/>
        <v>28.396938446765329</v>
      </c>
      <c r="Y427">
        <f t="shared" si="28"/>
        <v>1</v>
      </c>
      <c r="Z427" t="str" cm="1">
        <f t="array" ref="Z427">_xlfn.IFS(Y427&lt;0, "Invalid Date", ISBLANK(G427), "Missing Region", TRUE, "Clean")</f>
        <v>Clean</v>
      </c>
    </row>
    <row r="428" spans="1:26">
      <c r="A428" t="s">
        <v>976</v>
      </c>
      <c r="B428" s="4">
        <v>45473</v>
      </c>
      <c r="C428" s="6">
        <v>45298</v>
      </c>
      <c r="D428" t="s">
        <v>2369</v>
      </c>
      <c r="E428" t="s">
        <v>80</v>
      </c>
      <c r="F428" t="s">
        <v>23</v>
      </c>
      <c r="G428" t="s">
        <v>24</v>
      </c>
      <c r="H428" t="s">
        <v>192</v>
      </c>
      <c r="I428" t="s">
        <v>193</v>
      </c>
      <c r="J428" t="s">
        <v>68</v>
      </c>
      <c r="K428" t="s">
        <v>73</v>
      </c>
      <c r="L428" t="s">
        <v>977</v>
      </c>
      <c r="M428" t="s">
        <v>42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31</v>
      </c>
      <c r="U428" t="s">
        <v>32</v>
      </c>
      <c r="V428">
        <f t="shared" si="25"/>
        <v>27047.952000000001</v>
      </c>
      <c r="W428">
        <f t="shared" si="26"/>
        <v>8616.6219999999994</v>
      </c>
      <c r="X428">
        <f t="shared" si="27"/>
        <v>31.856837072174628</v>
      </c>
      <c r="Y428">
        <f t="shared" si="28"/>
        <v>-175</v>
      </c>
      <c r="Z428" t="str" cm="1">
        <f t="array" ref="Z428">_xlfn.IFS(Y428&lt;0, "Invalid Date", ISBLANK(G428), "Missing Region", TRUE, "Clean")</f>
        <v>Invalid Date</v>
      </c>
    </row>
    <row r="429" spans="1:26">
      <c r="A429" t="s">
        <v>978</v>
      </c>
      <c r="B429" s="4">
        <v>45769</v>
      </c>
      <c r="C429" s="6">
        <v>45771</v>
      </c>
      <c r="D429" t="s">
        <v>2370</v>
      </c>
      <c r="E429" t="s">
        <v>44</v>
      </c>
      <c r="F429" t="s">
        <v>81</v>
      </c>
      <c r="G429" t="s">
        <v>2806</v>
      </c>
      <c r="H429" t="s">
        <v>186</v>
      </c>
      <c r="I429" t="s">
        <v>187</v>
      </c>
      <c r="J429" t="s">
        <v>68</v>
      </c>
      <c r="K429" t="s">
        <v>69</v>
      </c>
      <c r="L429" t="s">
        <v>979</v>
      </c>
      <c r="M429" t="s">
        <v>176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31</v>
      </c>
      <c r="U429" t="s">
        <v>32</v>
      </c>
      <c r="V429">
        <f t="shared" si="25"/>
        <v>26454.959999999999</v>
      </c>
      <c r="W429">
        <f t="shared" si="26"/>
        <v>8824.7099999999991</v>
      </c>
      <c r="X429">
        <f t="shared" si="27"/>
        <v>33.35748759400883</v>
      </c>
      <c r="Y429">
        <f t="shared" si="28"/>
        <v>2</v>
      </c>
      <c r="Z429" t="str" cm="1">
        <f t="array" ref="Z429">_xlfn.IFS(Y429&lt;0, "Invalid Date", ISBLANK(G429), "Missing Region", TRUE, "Clean")</f>
        <v>Clean</v>
      </c>
    </row>
    <row r="430" spans="1:26">
      <c r="A430" t="s">
        <v>980</v>
      </c>
      <c r="B430" s="4">
        <v>45731</v>
      </c>
      <c r="C430" s="6">
        <v>45738</v>
      </c>
      <c r="D430" t="s">
        <v>2371</v>
      </c>
      <c r="E430" t="s">
        <v>22</v>
      </c>
      <c r="F430" t="s">
        <v>35</v>
      </c>
      <c r="G430" t="s">
        <v>36</v>
      </c>
      <c r="H430" t="s">
        <v>88</v>
      </c>
      <c r="I430" t="s">
        <v>89</v>
      </c>
      <c r="J430" t="s">
        <v>68</v>
      </c>
      <c r="K430" t="s">
        <v>144</v>
      </c>
      <c r="L430" t="s">
        <v>981</v>
      </c>
      <c r="M430" t="s">
        <v>42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98</v>
      </c>
      <c r="U430" t="s">
        <v>63</v>
      </c>
      <c r="V430">
        <f t="shared" si="25"/>
        <v>1853.895</v>
      </c>
      <c r="W430">
        <f t="shared" si="26"/>
        <v>752.66499999999996</v>
      </c>
      <c r="X430">
        <f t="shared" si="27"/>
        <v>40.599116994220275</v>
      </c>
      <c r="Y430">
        <f t="shared" si="28"/>
        <v>7</v>
      </c>
      <c r="Z430" t="str" cm="1">
        <f t="array" ref="Z430">_xlfn.IFS(Y430&lt;0, "Invalid Date", ISBLANK(G430), "Missing Region", TRUE, "Clean")</f>
        <v>Clean</v>
      </c>
    </row>
    <row r="431" spans="1:26">
      <c r="A431" t="s">
        <v>982</v>
      </c>
      <c r="B431" s="4">
        <v>45660</v>
      </c>
      <c r="C431" s="6">
        <v>45872</v>
      </c>
      <c r="D431" t="s">
        <v>2372</v>
      </c>
      <c r="E431" t="s">
        <v>72</v>
      </c>
      <c r="F431" t="s">
        <v>85</v>
      </c>
      <c r="G431" t="s">
        <v>24</v>
      </c>
      <c r="H431" t="s">
        <v>25</v>
      </c>
      <c r="I431" t="s">
        <v>26</v>
      </c>
      <c r="J431" t="s">
        <v>68</v>
      </c>
      <c r="K431" t="s">
        <v>73</v>
      </c>
      <c r="L431" t="s">
        <v>983</v>
      </c>
      <c r="M431" t="s">
        <v>42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31</v>
      </c>
      <c r="U431" t="s">
        <v>32</v>
      </c>
      <c r="V431">
        <f t="shared" si="25"/>
        <v>17658.599999999999</v>
      </c>
      <c r="W431">
        <f t="shared" si="26"/>
        <v>3816.119999999999</v>
      </c>
      <c r="X431">
        <f t="shared" si="27"/>
        <v>21.610546702456588</v>
      </c>
      <c r="Y431">
        <f t="shared" si="28"/>
        <v>212</v>
      </c>
      <c r="Z431" t="str" cm="1">
        <f t="array" ref="Z431">_xlfn.IFS(Y431&lt;0, "Invalid Date", ISBLANK(G431), "Missing Region", TRUE, "Clean")</f>
        <v>Clean</v>
      </c>
    </row>
    <row r="432" spans="1:26">
      <c r="A432" t="s">
        <v>984</v>
      </c>
      <c r="B432" s="4">
        <v>45534</v>
      </c>
      <c r="C432" s="6">
        <v>45331</v>
      </c>
      <c r="D432" t="s">
        <v>2373</v>
      </c>
      <c r="E432" t="s">
        <v>72</v>
      </c>
      <c r="F432" t="s">
        <v>35</v>
      </c>
      <c r="G432" t="s">
        <v>24</v>
      </c>
      <c r="H432" t="s">
        <v>192</v>
      </c>
      <c r="I432" t="s">
        <v>193</v>
      </c>
      <c r="J432" t="s">
        <v>27</v>
      </c>
      <c r="K432" t="s">
        <v>28</v>
      </c>
      <c r="L432" t="s">
        <v>985</v>
      </c>
      <c r="M432" t="s">
        <v>30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31</v>
      </c>
      <c r="U432" t="s">
        <v>32</v>
      </c>
      <c r="V432">
        <f t="shared" si="25"/>
        <v>3672.7139999999999</v>
      </c>
      <c r="W432">
        <f t="shared" si="26"/>
        <v>958.48399999999992</v>
      </c>
      <c r="X432">
        <f t="shared" si="27"/>
        <v>26.097430946161339</v>
      </c>
      <c r="Y432">
        <f t="shared" si="28"/>
        <v>-203</v>
      </c>
      <c r="Z432" t="str" cm="1">
        <f t="array" ref="Z432">_xlfn.IFS(Y432&lt;0, "Invalid Date", ISBLANK(G432), "Missing Region", TRUE, "Clean")</f>
        <v>Invalid Date</v>
      </c>
    </row>
    <row r="433" spans="1:26">
      <c r="A433" t="s">
        <v>986</v>
      </c>
      <c r="B433" s="4">
        <v>45567</v>
      </c>
      <c r="C433" s="6">
        <v>45335</v>
      </c>
      <c r="D433" t="s">
        <v>2374</v>
      </c>
      <c r="E433" t="s">
        <v>22</v>
      </c>
      <c r="F433" t="s">
        <v>85</v>
      </c>
      <c r="G433" t="s">
        <v>58</v>
      </c>
      <c r="H433" t="s">
        <v>159</v>
      </c>
      <c r="I433" t="s">
        <v>160</v>
      </c>
      <c r="J433" t="s">
        <v>68</v>
      </c>
      <c r="K433" t="s">
        <v>219</v>
      </c>
      <c r="L433" t="s">
        <v>987</v>
      </c>
      <c r="M433" t="s">
        <v>42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31</v>
      </c>
      <c r="U433" t="s">
        <v>32</v>
      </c>
      <c r="V433">
        <f t="shared" si="25"/>
        <v>6177.6749999999993</v>
      </c>
      <c r="W433">
        <f t="shared" si="26"/>
        <v>1656.9249999999993</v>
      </c>
      <c r="X433">
        <f t="shared" si="27"/>
        <v>26.821174632851346</v>
      </c>
      <c r="Y433">
        <f t="shared" si="28"/>
        <v>-232</v>
      </c>
      <c r="Z433" t="str" cm="1">
        <f t="array" ref="Z433">_xlfn.IFS(Y433&lt;0, "Invalid Date", ISBLANK(G433), "Missing Region", TRUE, "Clean")</f>
        <v>Invalid Date</v>
      </c>
    </row>
    <row r="434" spans="1:26">
      <c r="A434" t="s">
        <v>988</v>
      </c>
      <c r="B434" s="4">
        <v>45533</v>
      </c>
      <c r="C434" s="6">
        <v>45331</v>
      </c>
      <c r="D434" t="s">
        <v>2375</v>
      </c>
      <c r="E434" t="s">
        <v>100</v>
      </c>
      <c r="F434" t="s">
        <v>35</v>
      </c>
      <c r="G434" t="s">
        <v>58</v>
      </c>
      <c r="H434" t="s">
        <v>59</v>
      </c>
      <c r="I434" t="s">
        <v>60</v>
      </c>
      <c r="J434" t="s">
        <v>39</v>
      </c>
      <c r="K434" t="s">
        <v>134</v>
      </c>
      <c r="L434" t="s">
        <v>989</v>
      </c>
      <c r="M434" t="s">
        <v>55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31</v>
      </c>
      <c r="U434" t="s">
        <v>32</v>
      </c>
      <c r="V434">
        <f t="shared" si="25"/>
        <v>985.07400000000007</v>
      </c>
      <c r="W434">
        <f t="shared" si="26"/>
        <v>140.59400000000005</v>
      </c>
      <c r="X434">
        <f t="shared" si="27"/>
        <v>14.272430294576857</v>
      </c>
      <c r="Y434">
        <f t="shared" si="28"/>
        <v>-202</v>
      </c>
      <c r="Z434" t="str" cm="1">
        <f t="array" ref="Z434">_xlfn.IFS(Y434&lt;0, "Invalid Date", ISBLANK(G434), "Missing Region", TRUE, "Clean")</f>
        <v>Invalid Date</v>
      </c>
    </row>
    <row r="435" spans="1:26">
      <c r="A435" t="s">
        <v>990</v>
      </c>
      <c r="B435" s="4">
        <v>45401</v>
      </c>
      <c r="C435" s="6">
        <v>45402</v>
      </c>
      <c r="D435" t="s">
        <v>2376</v>
      </c>
      <c r="E435" t="s">
        <v>100</v>
      </c>
      <c r="F435" t="s">
        <v>81</v>
      </c>
      <c r="G435" t="s">
        <v>50</v>
      </c>
      <c r="H435" t="s">
        <v>155</v>
      </c>
      <c r="I435" t="s">
        <v>156</v>
      </c>
      <c r="J435" t="s">
        <v>27</v>
      </c>
      <c r="K435" t="s">
        <v>45</v>
      </c>
      <c r="L435" t="s">
        <v>991</v>
      </c>
      <c r="M435" t="s">
        <v>30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91</v>
      </c>
      <c r="U435" t="s">
        <v>92</v>
      </c>
      <c r="V435">
        <f t="shared" si="25"/>
        <v>6160.88</v>
      </c>
      <c r="W435">
        <f t="shared" si="26"/>
        <v>1222.1800000000003</v>
      </c>
      <c r="X435">
        <f t="shared" si="27"/>
        <v>19.837750451234243</v>
      </c>
      <c r="Y435">
        <f t="shared" si="28"/>
        <v>1</v>
      </c>
      <c r="Z435" t="str" cm="1">
        <f t="array" ref="Z435">_xlfn.IFS(Y435&lt;0, "Invalid Date", ISBLANK(G435), "Missing Region", TRUE, "Clean")</f>
        <v>Clean</v>
      </c>
    </row>
    <row r="436" spans="1:26">
      <c r="A436" t="s">
        <v>992</v>
      </c>
      <c r="B436" s="4">
        <v>45758</v>
      </c>
      <c r="C436" s="6">
        <v>45762</v>
      </c>
      <c r="D436" t="s">
        <v>2377</v>
      </c>
      <c r="E436" t="s">
        <v>34</v>
      </c>
      <c r="F436" t="s">
        <v>85</v>
      </c>
      <c r="G436" t="s">
        <v>24</v>
      </c>
      <c r="H436" t="s">
        <v>117</v>
      </c>
      <c r="I436" t="s">
        <v>118</v>
      </c>
      <c r="J436" t="s">
        <v>68</v>
      </c>
      <c r="K436" t="s">
        <v>69</v>
      </c>
      <c r="L436" t="s">
        <v>993</v>
      </c>
      <c r="M436" t="s">
        <v>30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31</v>
      </c>
      <c r="U436" t="s">
        <v>32</v>
      </c>
      <c r="V436">
        <f t="shared" si="25"/>
        <v>3263.8999999999996</v>
      </c>
      <c r="W436">
        <f t="shared" si="26"/>
        <v>1195.4599999999996</v>
      </c>
      <c r="X436">
        <f t="shared" si="27"/>
        <v>36.626734887711009</v>
      </c>
      <c r="Y436">
        <f t="shared" si="28"/>
        <v>4</v>
      </c>
      <c r="Z436" t="str" cm="1">
        <f t="array" ref="Z436">_xlfn.IFS(Y436&lt;0, "Invalid Date", ISBLANK(G436), "Missing Region", TRUE, "Clean")</f>
        <v>Clean</v>
      </c>
    </row>
    <row r="437" spans="1:26">
      <c r="A437" t="s">
        <v>994</v>
      </c>
      <c r="B437" s="4">
        <v>45995</v>
      </c>
      <c r="C437" s="6">
        <v>45767</v>
      </c>
      <c r="D437" t="s">
        <v>2378</v>
      </c>
      <c r="E437" t="s">
        <v>212</v>
      </c>
      <c r="F437" t="s">
        <v>85</v>
      </c>
      <c r="G437" t="s">
        <v>24</v>
      </c>
      <c r="H437" t="s">
        <v>270</v>
      </c>
      <c r="I437" t="s">
        <v>271</v>
      </c>
      <c r="J437" t="s">
        <v>68</v>
      </c>
      <c r="K437" t="s">
        <v>219</v>
      </c>
      <c r="L437" t="s">
        <v>995</v>
      </c>
      <c r="M437" t="s">
        <v>55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31</v>
      </c>
      <c r="U437" t="s">
        <v>63</v>
      </c>
      <c r="V437">
        <f t="shared" si="25"/>
        <v>2327.0535</v>
      </c>
      <c r="W437">
        <f t="shared" si="26"/>
        <v>407.63349999999991</v>
      </c>
      <c r="X437">
        <f t="shared" si="27"/>
        <v>17.517152055163319</v>
      </c>
      <c r="Y437">
        <f t="shared" si="28"/>
        <v>-228</v>
      </c>
      <c r="Z437" t="str" cm="1">
        <f t="array" ref="Z437">_xlfn.IFS(Y437&lt;0, "Invalid Date", ISBLANK(G437), "Missing Region", TRUE, "Clean")</f>
        <v>Invalid Date</v>
      </c>
    </row>
    <row r="438" spans="1:26">
      <c r="A438" t="s">
        <v>996</v>
      </c>
      <c r="B438" s="4">
        <v>45459</v>
      </c>
      <c r="C438" s="6">
        <v>45464</v>
      </c>
      <c r="D438" t="s">
        <v>2379</v>
      </c>
      <c r="E438" t="s">
        <v>72</v>
      </c>
      <c r="F438" t="s">
        <v>23</v>
      </c>
      <c r="G438" t="s">
        <v>50</v>
      </c>
      <c r="H438" t="s">
        <v>155</v>
      </c>
      <c r="I438" t="s">
        <v>156</v>
      </c>
      <c r="J438" t="s">
        <v>39</v>
      </c>
      <c r="K438" t="s">
        <v>53</v>
      </c>
      <c r="L438" t="s">
        <v>997</v>
      </c>
      <c r="M438" t="s">
        <v>42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31</v>
      </c>
      <c r="U438" t="s">
        <v>92</v>
      </c>
      <c r="V438">
        <f t="shared" si="25"/>
        <v>6593.6459999999997</v>
      </c>
      <c r="W438">
        <f t="shared" si="26"/>
        <v>2234.2559999999994</v>
      </c>
      <c r="X438">
        <f t="shared" si="27"/>
        <v>33.884985636171542</v>
      </c>
      <c r="Y438">
        <f t="shared" si="28"/>
        <v>5</v>
      </c>
      <c r="Z438" t="str" cm="1">
        <f t="array" ref="Z438">_xlfn.IFS(Y438&lt;0, "Invalid Date", ISBLANK(G438), "Missing Region", TRUE, "Clean")</f>
        <v>Clean</v>
      </c>
    </row>
    <row r="439" spans="1:26">
      <c r="A439" t="s">
        <v>998</v>
      </c>
      <c r="B439" s="4">
        <v>45337</v>
      </c>
      <c r="C439" s="6">
        <v>45340</v>
      </c>
      <c r="D439" t="s">
        <v>2380</v>
      </c>
      <c r="E439" t="s">
        <v>80</v>
      </c>
      <c r="F439" t="s">
        <v>35</v>
      </c>
      <c r="G439" t="s">
        <v>50</v>
      </c>
      <c r="H439" t="s">
        <v>155</v>
      </c>
      <c r="I439" t="s">
        <v>156</v>
      </c>
      <c r="J439" t="s">
        <v>68</v>
      </c>
      <c r="K439" t="s">
        <v>69</v>
      </c>
      <c r="L439" t="s">
        <v>999</v>
      </c>
      <c r="M439" t="s">
        <v>42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132</v>
      </c>
      <c r="U439" t="s">
        <v>92</v>
      </c>
      <c r="V439">
        <f t="shared" si="25"/>
        <v>2886.6319999999996</v>
      </c>
      <c r="W439">
        <f t="shared" si="26"/>
        <v>1298.4019999999996</v>
      </c>
      <c r="X439">
        <f t="shared" si="27"/>
        <v>44.979824238073988</v>
      </c>
      <c r="Y439">
        <f t="shared" si="28"/>
        <v>3</v>
      </c>
      <c r="Z439" t="str" cm="1">
        <f t="array" ref="Z439">_xlfn.IFS(Y439&lt;0, "Invalid Date", ISBLANK(G439), "Missing Region", TRUE, "Clean")</f>
        <v>Clean</v>
      </c>
    </row>
    <row r="440" spans="1:26">
      <c r="A440" t="s">
        <v>1000</v>
      </c>
      <c r="B440" s="4">
        <v>45843</v>
      </c>
      <c r="C440" s="6">
        <v>45782</v>
      </c>
      <c r="D440" t="s">
        <v>2381</v>
      </c>
      <c r="E440" t="s">
        <v>72</v>
      </c>
      <c r="F440" t="s">
        <v>81</v>
      </c>
      <c r="G440" t="s">
        <v>36</v>
      </c>
      <c r="H440" t="s">
        <v>186</v>
      </c>
      <c r="I440" t="s">
        <v>187</v>
      </c>
      <c r="J440" t="s">
        <v>68</v>
      </c>
      <c r="K440" t="s">
        <v>144</v>
      </c>
      <c r="L440" t="s">
        <v>1001</v>
      </c>
      <c r="M440" t="s">
        <v>55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31</v>
      </c>
      <c r="U440" t="s">
        <v>32</v>
      </c>
      <c r="V440">
        <f t="shared" si="25"/>
        <v>1813.1759999999999</v>
      </c>
      <c r="W440">
        <f t="shared" si="26"/>
        <v>449.53599999999983</v>
      </c>
      <c r="X440">
        <f t="shared" si="27"/>
        <v>24.792739370033566</v>
      </c>
      <c r="Y440">
        <f t="shared" si="28"/>
        <v>-61</v>
      </c>
      <c r="Z440" t="str" cm="1">
        <f t="array" ref="Z440">_xlfn.IFS(Y440&lt;0, "Invalid Date", ISBLANK(G440), "Missing Region", TRUE, "Clean")</f>
        <v>Invalid Date</v>
      </c>
    </row>
    <row r="441" spans="1:26">
      <c r="A441" t="s">
        <v>1002</v>
      </c>
      <c r="B441" s="4">
        <v>45838</v>
      </c>
      <c r="C441" s="6">
        <v>45723</v>
      </c>
      <c r="D441" t="s">
        <v>2005</v>
      </c>
      <c r="E441" t="s">
        <v>111</v>
      </c>
      <c r="F441" t="s">
        <v>85</v>
      </c>
      <c r="G441" t="s">
        <v>58</v>
      </c>
      <c r="H441" t="s">
        <v>159</v>
      </c>
      <c r="I441" t="s">
        <v>160</v>
      </c>
      <c r="J441" t="s">
        <v>27</v>
      </c>
      <c r="K441" t="s">
        <v>108</v>
      </c>
      <c r="L441" t="s">
        <v>1003</v>
      </c>
      <c r="M441" t="s">
        <v>42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91</v>
      </c>
      <c r="U441" t="s">
        <v>92</v>
      </c>
      <c r="V441">
        <f t="shared" si="25"/>
        <v>3326.25</v>
      </c>
      <c r="W441">
        <f t="shared" si="26"/>
        <v>636.88999999999987</v>
      </c>
      <c r="X441">
        <f t="shared" si="27"/>
        <v>19.147388199924837</v>
      </c>
      <c r="Y441">
        <f t="shared" si="28"/>
        <v>-115</v>
      </c>
      <c r="Z441" t="str" cm="1">
        <f t="array" ref="Z441">_xlfn.IFS(Y441&lt;0, "Invalid Date", ISBLANK(G441), "Missing Region", TRUE, "Clean")</f>
        <v>Invalid Date</v>
      </c>
    </row>
    <row r="442" spans="1:26">
      <c r="A442" t="s">
        <v>1004</v>
      </c>
      <c r="B442" s="4">
        <v>45384</v>
      </c>
      <c r="C442" s="6">
        <v>45390</v>
      </c>
      <c r="D442" t="s">
        <v>2382</v>
      </c>
      <c r="E442" t="s">
        <v>65</v>
      </c>
      <c r="F442" t="s">
        <v>81</v>
      </c>
      <c r="G442" t="s">
        <v>36</v>
      </c>
      <c r="H442" t="s">
        <v>37</v>
      </c>
      <c r="I442" t="s">
        <v>38</v>
      </c>
      <c r="J442" t="s">
        <v>68</v>
      </c>
      <c r="K442" t="s">
        <v>219</v>
      </c>
      <c r="L442" t="s">
        <v>1005</v>
      </c>
      <c r="M442" t="s">
        <v>30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31</v>
      </c>
      <c r="U442" t="s">
        <v>32</v>
      </c>
      <c r="V442">
        <f t="shared" si="25"/>
        <v>17869.632000000001</v>
      </c>
      <c r="W442">
        <f t="shared" si="26"/>
        <v>5705.8320000000022</v>
      </c>
      <c r="X442">
        <f t="shared" si="27"/>
        <v>31.93032738446993</v>
      </c>
      <c r="Y442">
        <f t="shared" si="28"/>
        <v>6</v>
      </c>
      <c r="Z442" t="str" cm="1">
        <f t="array" ref="Z442">_xlfn.IFS(Y442&lt;0, "Invalid Date", ISBLANK(G442), "Missing Region", TRUE, "Clean")</f>
        <v>Clean</v>
      </c>
    </row>
    <row r="443" spans="1:26">
      <c r="A443" t="s">
        <v>1006</v>
      </c>
      <c r="B443" s="4">
        <v>45361</v>
      </c>
      <c r="C443" s="6">
        <v>45361</v>
      </c>
      <c r="D443" t="s">
        <v>2383</v>
      </c>
      <c r="E443" t="s">
        <v>22</v>
      </c>
      <c r="F443" t="s">
        <v>23</v>
      </c>
      <c r="G443" t="s">
        <v>36</v>
      </c>
      <c r="H443" t="s">
        <v>124</v>
      </c>
      <c r="I443" t="s">
        <v>125</v>
      </c>
      <c r="J443" t="s">
        <v>39</v>
      </c>
      <c r="K443" t="s">
        <v>134</v>
      </c>
      <c r="L443" t="s">
        <v>1007</v>
      </c>
      <c r="M443" t="s">
        <v>55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31</v>
      </c>
      <c r="U443" t="s">
        <v>63</v>
      </c>
      <c r="V443">
        <f t="shared" si="25"/>
        <v>25304.94</v>
      </c>
      <c r="W443">
        <f t="shared" si="26"/>
        <v>4532.989999999998</v>
      </c>
      <c r="X443">
        <f t="shared" si="27"/>
        <v>17.913458795002075</v>
      </c>
      <c r="Y443">
        <f t="shared" si="28"/>
        <v>0</v>
      </c>
      <c r="Z443" t="str" cm="1">
        <f t="array" ref="Z443">_xlfn.IFS(Y443&lt;0, "Invalid Date", ISBLANK(G443), "Missing Region", TRUE, "Clean")</f>
        <v>Clean</v>
      </c>
    </row>
    <row r="444" spans="1:26">
      <c r="A444" t="s">
        <v>1008</v>
      </c>
      <c r="B444" s="4">
        <v>45992</v>
      </c>
      <c r="C444" s="6">
        <v>45676</v>
      </c>
      <c r="D444" t="s">
        <v>2384</v>
      </c>
      <c r="E444" t="s">
        <v>111</v>
      </c>
      <c r="F444" t="s">
        <v>23</v>
      </c>
      <c r="G444" t="s">
        <v>36</v>
      </c>
      <c r="H444" t="s">
        <v>186</v>
      </c>
      <c r="I444" t="s">
        <v>187</v>
      </c>
      <c r="J444" t="s">
        <v>39</v>
      </c>
      <c r="K444" t="s">
        <v>40</v>
      </c>
      <c r="L444" t="s">
        <v>1009</v>
      </c>
      <c r="M444" t="s">
        <v>47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31</v>
      </c>
      <c r="U444" t="s">
        <v>32</v>
      </c>
      <c r="V444">
        <f t="shared" si="25"/>
        <v>1842.31</v>
      </c>
      <c r="W444">
        <f t="shared" si="26"/>
        <v>823.14</v>
      </c>
      <c r="X444">
        <f t="shared" si="27"/>
        <v>44.679777019068453</v>
      </c>
      <c r="Y444">
        <f t="shared" si="28"/>
        <v>-316</v>
      </c>
      <c r="Z444" t="str" cm="1">
        <f t="array" ref="Z444">_xlfn.IFS(Y444&lt;0, "Invalid Date", ISBLANK(G444), "Missing Region", TRUE, "Clean")</f>
        <v>Invalid Date</v>
      </c>
    </row>
    <row r="445" spans="1:26">
      <c r="A445" t="s">
        <v>1010</v>
      </c>
      <c r="B445" s="4">
        <v>45386</v>
      </c>
      <c r="C445" s="6">
        <v>45477</v>
      </c>
      <c r="D445" t="s">
        <v>2385</v>
      </c>
      <c r="E445" t="s">
        <v>121</v>
      </c>
      <c r="F445" t="s">
        <v>85</v>
      </c>
      <c r="G445" t="s">
        <v>36</v>
      </c>
      <c r="H445" t="s">
        <v>37</v>
      </c>
      <c r="I445" t="s">
        <v>38</v>
      </c>
      <c r="J445" t="s">
        <v>39</v>
      </c>
      <c r="K445" t="s">
        <v>53</v>
      </c>
      <c r="L445" t="s">
        <v>1011</v>
      </c>
      <c r="M445" t="s">
        <v>47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31</v>
      </c>
      <c r="U445" t="s">
        <v>32</v>
      </c>
      <c r="V445">
        <f t="shared" si="25"/>
        <v>3315.375</v>
      </c>
      <c r="W445">
        <f t="shared" si="26"/>
        <v>967.69500000000016</v>
      </c>
      <c r="X445">
        <f t="shared" si="27"/>
        <v>29.188100893564084</v>
      </c>
      <c r="Y445">
        <f t="shared" si="28"/>
        <v>91</v>
      </c>
      <c r="Z445" t="str" cm="1">
        <f t="array" ref="Z445">_xlfn.IFS(Y445&lt;0, "Invalid Date", ISBLANK(G445), "Missing Region", TRUE, "Clean")</f>
        <v>Clean</v>
      </c>
    </row>
    <row r="446" spans="1:26">
      <c r="A446" t="s">
        <v>1012</v>
      </c>
      <c r="B446" s="4">
        <v>45999</v>
      </c>
      <c r="C446" s="6">
        <v>45885</v>
      </c>
      <c r="D446" t="s">
        <v>2386</v>
      </c>
      <c r="E446" t="s">
        <v>57</v>
      </c>
      <c r="F446" t="s">
        <v>23</v>
      </c>
      <c r="G446" t="s">
        <v>36</v>
      </c>
      <c r="H446" t="s">
        <v>140</v>
      </c>
      <c r="I446" t="s">
        <v>141</v>
      </c>
      <c r="J446" t="s">
        <v>68</v>
      </c>
      <c r="K446" t="s">
        <v>69</v>
      </c>
      <c r="L446" t="s">
        <v>1013</v>
      </c>
      <c r="M446" t="s">
        <v>42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31</v>
      </c>
      <c r="U446" t="s">
        <v>32</v>
      </c>
      <c r="V446">
        <f t="shared" si="25"/>
        <v>20342.501999999997</v>
      </c>
      <c r="W446">
        <f t="shared" si="26"/>
        <v>7934.9919999999966</v>
      </c>
      <c r="X446">
        <f t="shared" si="27"/>
        <v>39.00696187715748</v>
      </c>
      <c r="Y446">
        <f t="shared" si="28"/>
        <v>-114</v>
      </c>
      <c r="Z446" t="str" cm="1">
        <f t="array" ref="Z446">_xlfn.IFS(Y446&lt;0, "Invalid Date", ISBLANK(G446), "Missing Region", TRUE, "Clean")</f>
        <v>Invalid Date</v>
      </c>
    </row>
    <row r="447" spans="1:26">
      <c r="A447" t="s">
        <v>1014</v>
      </c>
      <c r="B447" s="4">
        <v>45421</v>
      </c>
      <c r="C447" s="6">
        <v>45417</v>
      </c>
      <c r="D447" t="s">
        <v>2387</v>
      </c>
      <c r="E447" t="s">
        <v>49</v>
      </c>
      <c r="F447" t="s">
        <v>23</v>
      </c>
      <c r="G447" t="s">
        <v>36</v>
      </c>
      <c r="H447" t="s">
        <v>140</v>
      </c>
      <c r="I447" t="s">
        <v>141</v>
      </c>
      <c r="J447" t="s">
        <v>39</v>
      </c>
      <c r="K447" t="s">
        <v>134</v>
      </c>
      <c r="L447" t="s">
        <v>1015</v>
      </c>
      <c r="M447" t="s">
        <v>42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31</v>
      </c>
      <c r="U447" t="s">
        <v>32</v>
      </c>
      <c r="V447">
        <f t="shared" si="25"/>
        <v>3377.9680000000003</v>
      </c>
      <c r="W447">
        <f t="shared" si="26"/>
        <v>881.67800000000034</v>
      </c>
      <c r="X447">
        <f t="shared" si="27"/>
        <v>26.10083932115403</v>
      </c>
      <c r="Y447">
        <f t="shared" si="28"/>
        <v>-4</v>
      </c>
      <c r="Z447" t="str" cm="1">
        <f t="array" ref="Z447">_xlfn.IFS(Y447&lt;0, "Invalid Date", ISBLANK(G447), "Missing Region", TRUE, "Clean")</f>
        <v>Invalid Date</v>
      </c>
    </row>
    <row r="448" spans="1:26">
      <c r="A448" t="s">
        <v>1016</v>
      </c>
      <c r="B448" s="4">
        <v>45918</v>
      </c>
      <c r="C448" s="6">
        <v>45919</v>
      </c>
      <c r="D448" t="s">
        <v>2388</v>
      </c>
      <c r="E448" t="s">
        <v>114</v>
      </c>
      <c r="F448" t="s">
        <v>85</v>
      </c>
      <c r="G448" t="s">
        <v>50</v>
      </c>
      <c r="H448" t="s">
        <v>76</v>
      </c>
      <c r="I448" t="s">
        <v>77</v>
      </c>
      <c r="J448" t="s">
        <v>27</v>
      </c>
      <c r="K448" t="s">
        <v>108</v>
      </c>
      <c r="L448" t="s">
        <v>1017</v>
      </c>
      <c r="M448" t="s">
        <v>42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31</v>
      </c>
      <c r="U448" t="s">
        <v>32</v>
      </c>
      <c r="V448">
        <f t="shared" si="25"/>
        <v>33940.080000000002</v>
      </c>
      <c r="W448">
        <f t="shared" si="26"/>
        <v>10185.890000000003</v>
      </c>
      <c r="X448">
        <f t="shared" si="27"/>
        <v>30.011390662603045</v>
      </c>
      <c r="Y448">
        <f t="shared" si="28"/>
        <v>1</v>
      </c>
      <c r="Z448" t="str" cm="1">
        <f t="array" ref="Z448">_xlfn.IFS(Y448&lt;0, "Invalid Date", ISBLANK(G448), "Missing Region", TRUE, "Clean")</f>
        <v>Clean</v>
      </c>
    </row>
    <row r="449" spans="1:26">
      <c r="A449" t="s">
        <v>1018</v>
      </c>
      <c r="B449" s="4">
        <v>45938</v>
      </c>
      <c r="C449" s="6">
        <v>45938</v>
      </c>
      <c r="D449" t="s">
        <v>2389</v>
      </c>
      <c r="E449" t="s">
        <v>121</v>
      </c>
      <c r="F449" t="s">
        <v>85</v>
      </c>
      <c r="G449" t="s">
        <v>50</v>
      </c>
      <c r="H449" t="s">
        <v>51</v>
      </c>
      <c r="I449" t="s">
        <v>52</v>
      </c>
      <c r="J449" t="s">
        <v>39</v>
      </c>
      <c r="K449" t="s">
        <v>134</v>
      </c>
      <c r="L449" t="s">
        <v>1019</v>
      </c>
      <c r="M449" t="s">
        <v>55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98</v>
      </c>
      <c r="U449" t="s">
        <v>92</v>
      </c>
      <c r="V449">
        <f t="shared" si="25"/>
        <v>21872.369999999995</v>
      </c>
      <c r="W449">
        <f t="shared" si="26"/>
        <v>8042.8699999999953</v>
      </c>
      <c r="X449">
        <f t="shared" si="27"/>
        <v>36.771826738483284</v>
      </c>
      <c r="Y449">
        <f t="shared" si="28"/>
        <v>0</v>
      </c>
      <c r="Z449" t="str" cm="1">
        <f t="array" ref="Z449">_xlfn.IFS(Y449&lt;0, "Invalid Date", ISBLANK(G449), "Missing Region", TRUE, "Clean")</f>
        <v>Clean</v>
      </c>
    </row>
    <row r="450" spans="1:26">
      <c r="A450" t="s">
        <v>1020</v>
      </c>
      <c r="B450" s="4">
        <v>45306</v>
      </c>
      <c r="C450" s="6">
        <v>45309</v>
      </c>
      <c r="D450" t="s">
        <v>2355</v>
      </c>
      <c r="E450" t="s">
        <v>34</v>
      </c>
      <c r="F450" t="s">
        <v>35</v>
      </c>
      <c r="G450" t="s">
        <v>50</v>
      </c>
      <c r="H450" t="s">
        <v>76</v>
      </c>
      <c r="I450" t="s">
        <v>77</v>
      </c>
      <c r="J450" t="s">
        <v>39</v>
      </c>
      <c r="K450" t="s">
        <v>61</v>
      </c>
      <c r="L450" t="s">
        <v>1021</v>
      </c>
      <c r="M450" t="s">
        <v>47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31</v>
      </c>
      <c r="U450" t="s">
        <v>32</v>
      </c>
      <c r="V450">
        <f t="shared" si="25"/>
        <v>342.05700000000002</v>
      </c>
      <c r="W450">
        <f t="shared" si="26"/>
        <v>97.487000000000023</v>
      </c>
      <c r="X450">
        <f t="shared" si="27"/>
        <v>28.500220723446684</v>
      </c>
      <c r="Y450">
        <f t="shared" si="28"/>
        <v>3</v>
      </c>
      <c r="Z450" t="str" cm="1">
        <f t="array" ref="Z450">_xlfn.IFS(Y450&lt;0, "Invalid Date", ISBLANK(G450), "Missing Region", TRUE, "Clean")</f>
        <v>Clean</v>
      </c>
    </row>
    <row r="451" spans="1:26">
      <c r="A451" t="s">
        <v>1022</v>
      </c>
      <c r="B451" s="4">
        <v>45449</v>
      </c>
      <c r="C451" s="6">
        <v>45456</v>
      </c>
      <c r="D451" t="s">
        <v>2390</v>
      </c>
      <c r="E451" t="s">
        <v>80</v>
      </c>
      <c r="F451" t="s">
        <v>81</v>
      </c>
      <c r="G451" t="s">
        <v>36</v>
      </c>
      <c r="H451" t="s">
        <v>140</v>
      </c>
      <c r="I451" t="s">
        <v>141</v>
      </c>
      <c r="J451" t="s">
        <v>68</v>
      </c>
      <c r="K451" t="s">
        <v>219</v>
      </c>
      <c r="L451" t="s">
        <v>1023</v>
      </c>
      <c r="M451" t="s">
        <v>30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31</v>
      </c>
      <c r="U451" t="s">
        <v>32</v>
      </c>
      <c r="V451">
        <f t="shared" ref="V451:V514" si="29">N451*O451*(1- P451)</f>
        <v>19622.16</v>
      </c>
      <c r="W451">
        <f t="shared" ref="W451:W514" si="30">V451-R451</f>
        <v>5350.8899999999994</v>
      </c>
      <c r="X451">
        <f t="shared" ref="X451:X514" si="31">W451/V451*100</f>
        <v>27.269627808559299</v>
      </c>
      <c r="Y451">
        <f t="shared" si="28"/>
        <v>7</v>
      </c>
      <c r="Z451" t="str" cm="1">
        <f t="array" ref="Z451">_xlfn.IFS(Y451&lt;0, "Invalid Date", ISBLANK(G451), "Missing Region", TRUE, "Clean")</f>
        <v>Clean</v>
      </c>
    </row>
    <row r="452" spans="1:26">
      <c r="A452" t="s">
        <v>1024</v>
      </c>
      <c r="B452" s="4">
        <v>45820</v>
      </c>
      <c r="C452" s="6">
        <v>45827</v>
      </c>
      <c r="D452" t="s">
        <v>2391</v>
      </c>
      <c r="E452" t="s">
        <v>57</v>
      </c>
      <c r="F452" t="s">
        <v>81</v>
      </c>
      <c r="G452" t="s">
        <v>24</v>
      </c>
      <c r="H452" t="s">
        <v>270</v>
      </c>
      <c r="I452" t="s">
        <v>271</v>
      </c>
      <c r="J452" t="s">
        <v>39</v>
      </c>
      <c r="K452" t="s">
        <v>61</v>
      </c>
      <c r="L452" t="s">
        <v>1025</v>
      </c>
      <c r="M452" t="s">
        <v>55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31</v>
      </c>
      <c r="U452" t="s">
        <v>32</v>
      </c>
      <c r="V452">
        <f t="shared" si="29"/>
        <v>15380.3475</v>
      </c>
      <c r="W452">
        <f t="shared" si="30"/>
        <v>5472.9774999999991</v>
      </c>
      <c r="X452">
        <f t="shared" si="31"/>
        <v>35.584225258889624</v>
      </c>
      <c r="Y452">
        <f t="shared" si="28"/>
        <v>7</v>
      </c>
      <c r="Z452" t="str" cm="1">
        <f t="array" ref="Z452">_xlfn.IFS(Y452&lt;0, "Invalid Date", ISBLANK(G452), "Missing Region", TRUE, "Clean")</f>
        <v>Clean</v>
      </c>
    </row>
    <row r="453" spans="1:26">
      <c r="A453" t="s">
        <v>1026</v>
      </c>
      <c r="B453" s="4">
        <v>45375</v>
      </c>
      <c r="C453" s="6">
        <v>45377</v>
      </c>
      <c r="D453" t="s">
        <v>2392</v>
      </c>
      <c r="E453" t="s">
        <v>121</v>
      </c>
      <c r="F453" t="s">
        <v>35</v>
      </c>
      <c r="G453" t="s">
        <v>24</v>
      </c>
      <c r="H453" t="s">
        <v>192</v>
      </c>
      <c r="I453" t="s">
        <v>193</v>
      </c>
      <c r="J453" t="s">
        <v>27</v>
      </c>
      <c r="K453" t="s">
        <v>28</v>
      </c>
      <c r="L453" t="s">
        <v>1027</v>
      </c>
      <c r="M453" t="s">
        <v>30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31</v>
      </c>
      <c r="U453" t="s">
        <v>63</v>
      </c>
      <c r="V453">
        <f t="shared" si="29"/>
        <v>13039.952000000001</v>
      </c>
      <c r="W453">
        <f t="shared" si="30"/>
        <v>1912.1320000000014</v>
      </c>
      <c r="X453">
        <f t="shared" si="31"/>
        <v>14.66364293365498</v>
      </c>
      <c r="Y453">
        <f t="shared" si="28"/>
        <v>2</v>
      </c>
      <c r="Z453" t="str" cm="1">
        <f t="array" ref="Z453">_xlfn.IFS(Y453&lt;0, "Invalid Date", ISBLANK(G453), "Missing Region", TRUE, "Clean")</f>
        <v>Clean</v>
      </c>
    </row>
    <row r="454" spans="1:26">
      <c r="A454" t="s">
        <v>1028</v>
      </c>
      <c r="B454" s="4">
        <v>45570</v>
      </c>
      <c r="C454" s="6">
        <v>45428</v>
      </c>
      <c r="D454" t="s">
        <v>2393</v>
      </c>
      <c r="E454" t="s">
        <v>137</v>
      </c>
      <c r="F454" t="s">
        <v>85</v>
      </c>
      <c r="G454" t="s">
        <v>36</v>
      </c>
      <c r="H454" t="s">
        <v>186</v>
      </c>
      <c r="I454" t="s">
        <v>187</v>
      </c>
      <c r="J454" t="s">
        <v>68</v>
      </c>
      <c r="K454" t="s">
        <v>69</v>
      </c>
      <c r="L454" t="s">
        <v>1029</v>
      </c>
      <c r="M454" t="s">
        <v>30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31</v>
      </c>
      <c r="U454" t="s">
        <v>32</v>
      </c>
      <c r="V454">
        <f t="shared" si="29"/>
        <v>9663.9840000000004</v>
      </c>
      <c r="W454">
        <f t="shared" si="30"/>
        <v>4035.0540000000001</v>
      </c>
      <c r="X454">
        <f t="shared" si="31"/>
        <v>41.753525254180886</v>
      </c>
      <c r="Y454">
        <f t="shared" si="28"/>
        <v>-142</v>
      </c>
      <c r="Z454" t="str" cm="1">
        <f t="array" ref="Z454">_xlfn.IFS(Y454&lt;0, "Invalid Date", ISBLANK(G454), "Missing Region", TRUE, "Clean")</f>
        <v>Invalid Date</v>
      </c>
    </row>
    <row r="455" spans="1:26">
      <c r="A455" t="s">
        <v>1030</v>
      </c>
      <c r="B455" s="4">
        <v>45780</v>
      </c>
      <c r="C455" s="6">
        <v>45966</v>
      </c>
      <c r="D455" t="s">
        <v>2394</v>
      </c>
      <c r="E455" t="s">
        <v>121</v>
      </c>
      <c r="F455" t="s">
        <v>35</v>
      </c>
      <c r="G455" t="s">
        <v>58</v>
      </c>
      <c r="H455" t="s">
        <v>66</v>
      </c>
      <c r="I455" t="s">
        <v>67</v>
      </c>
      <c r="J455" t="s">
        <v>27</v>
      </c>
      <c r="K455" t="s">
        <v>82</v>
      </c>
      <c r="L455" t="s">
        <v>1031</v>
      </c>
      <c r="M455" t="s">
        <v>42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31</v>
      </c>
      <c r="U455" t="s">
        <v>32</v>
      </c>
      <c r="V455">
        <f t="shared" si="29"/>
        <v>7417.6</v>
      </c>
      <c r="W455">
        <f t="shared" si="30"/>
        <v>2461.7400000000007</v>
      </c>
      <c r="X455">
        <f t="shared" si="31"/>
        <v>33.187823554788622</v>
      </c>
      <c r="Y455">
        <f t="shared" ref="Y455:Y518" si="32">C455-B455</f>
        <v>186</v>
      </c>
      <c r="Z455" t="str" cm="1">
        <f t="array" ref="Z455">_xlfn.IFS(Y455&lt;0, "Invalid Date", ISBLANK(G455), "Missing Region", TRUE, "Clean")</f>
        <v>Clean</v>
      </c>
    </row>
    <row r="456" spans="1:26">
      <c r="A456" t="s">
        <v>1032</v>
      </c>
      <c r="B456" s="4">
        <v>45739</v>
      </c>
      <c r="C456" s="6">
        <v>45744</v>
      </c>
      <c r="D456" t="s">
        <v>2395</v>
      </c>
      <c r="E456" t="s">
        <v>65</v>
      </c>
      <c r="F456" t="s">
        <v>35</v>
      </c>
      <c r="G456" t="s">
        <v>24</v>
      </c>
      <c r="H456" t="s">
        <v>25</v>
      </c>
      <c r="I456" t="s">
        <v>26</v>
      </c>
      <c r="J456" t="s">
        <v>39</v>
      </c>
      <c r="K456" t="s">
        <v>53</v>
      </c>
      <c r="L456" t="s">
        <v>1033</v>
      </c>
      <c r="M456" t="s">
        <v>55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31</v>
      </c>
      <c r="U456" t="s">
        <v>32</v>
      </c>
      <c r="V456">
        <f t="shared" si="29"/>
        <v>25229.7</v>
      </c>
      <c r="W456">
        <f t="shared" si="30"/>
        <v>5059.2700000000004</v>
      </c>
      <c r="X456">
        <f t="shared" si="31"/>
        <v>20.052834556098567</v>
      </c>
      <c r="Y456">
        <f t="shared" si="32"/>
        <v>5</v>
      </c>
      <c r="Z456" t="str" cm="1">
        <f t="array" ref="Z456">_xlfn.IFS(Y456&lt;0, "Invalid Date", ISBLANK(G456), "Missing Region", TRUE, "Clean")</f>
        <v>Clean</v>
      </c>
    </row>
    <row r="457" spans="1:26">
      <c r="A457" t="s">
        <v>1034</v>
      </c>
      <c r="B457" s="4">
        <v>45491</v>
      </c>
      <c r="C457" s="6">
        <v>45495</v>
      </c>
      <c r="D457" t="s">
        <v>2396</v>
      </c>
      <c r="E457" t="s">
        <v>72</v>
      </c>
      <c r="F457" t="s">
        <v>35</v>
      </c>
      <c r="G457" t="s">
        <v>50</v>
      </c>
      <c r="H457" t="s">
        <v>51</v>
      </c>
      <c r="I457" t="s">
        <v>52</v>
      </c>
      <c r="J457" t="s">
        <v>27</v>
      </c>
      <c r="K457" t="s">
        <v>45</v>
      </c>
      <c r="L457" t="s">
        <v>1035</v>
      </c>
      <c r="M457" t="s">
        <v>55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31</v>
      </c>
      <c r="U457" t="s">
        <v>32</v>
      </c>
      <c r="V457">
        <f t="shared" si="29"/>
        <v>3235.08</v>
      </c>
      <c r="W457">
        <f t="shared" si="30"/>
        <v>1386.48</v>
      </c>
      <c r="X457">
        <f t="shared" si="31"/>
        <v>42.857672762342816</v>
      </c>
      <c r="Y457">
        <f t="shared" si="32"/>
        <v>4</v>
      </c>
      <c r="Z457" t="str" cm="1">
        <f t="array" ref="Z457">_xlfn.IFS(Y457&lt;0, "Invalid Date", ISBLANK(G457), "Missing Region", TRUE, "Clean")</f>
        <v>Clean</v>
      </c>
    </row>
    <row r="458" spans="1:26">
      <c r="A458" t="s">
        <v>1036</v>
      </c>
      <c r="B458" s="4">
        <v>45342</v>
      </c>
      <c r="C458" s="6">
        <v>45342</v>
      </c>
      <c r="D458" t="s">
        <v>2397</v>
      </c>
      <c r="E458" t="s">
        <v>72</v>
      </c>
      <c r="F458" t="s">
        <v>81</v>
      </c>
      <c r="G458" t="s">
        <v>24</v>
      </c>
      <c r="H458" t="s">
        <v>117</v>
      </c>
      <c r="I458" t="s">
        <v>118</v>
      </c>
      <c r="J458" t="s">
        <v>68</v>
      </c>
      <c r="K458" t="s">
        <v>69</v>
      </c>
      <c r="L458" t="s">
        <v>1037</v>
      </c>
      <c r="M458" t="s">
        <v>42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31</v>
      </c>
      <c r="U458" t="s">
        <v>92</v>
      </c>
      <c r="V458">
        <f t="shared" si="29"/>
        <v>11070.867499999998</v>
      </c>
      <c r="W458">
        <f t="shared" si="30"/>
        <v>4447.2574999999988</v>
      </c>
      <c r="X458">
        <f t="shared" si="31"/>
        <v>40.170813172499805</v>
      </c>
      <c r="Y458">
        <f t="shared" si="32"/>
        <v>0</v>
      </c>
      <c r="Z458" t="str" cm="1">
        <f t="array" ref="Z458">_xlfn.IFS(Y458&lt;0, "Invalid Date", ISBLANK(G458), "Missing Region", TRUE, "Clean")</f>
        <v>Clean</v>
      </c>
    </row>
    <row r="459" spans="1:26">
      <c r="A459" t="s">
        <v>1038</v>
      </c>
      <c r="B459" s="4">
        <v>45416</v>
      </c>
      <c r="C459" s="6">
        <v>45387</v>
      </c>
      <c r="D459" t="s">
        <v>2398</v>
      </c>
      <c r="E459" t="s">
        <v>34</v>
      </c>
      <c r="F459" t="s">
        <v>35</v>
      </c>
      <c r="G459" t="s">
        <v>58</v>
      </c>
      <c r="H459" t="s">
        <v>159</v>
      </c>
      <c r="I459" t="s">
        <v>160</v>
      </c>
      <c r="J459" t="s">
        <v>39</v>
      </c>
      <c r="K459" t="s">
        <v>40</v>
      </c>
      <c r="L459" t="s">
        <v>1039</v>
      </c>
      <c r="M459" t="s">
        <v>55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31</v>
      </c>
      <c r="U459" t="s">
        <v>32</v>
      </c>
      <c r="V459">
        <f t="shared" si="29"/>
        <v>19960.57</v>
      </c>
      <c r="W459">
        <f t="shared" si="30"/>
        <v>3356.9700000000012</v>
      </c>
      <c r="X459">
        <f t="shared" si="31"/>
        <v>16.81800670020947</v>
      </c>
      <c r="Y459">
        <f t="shared" si="32"/>
        <v>-29</v>
      </c>
      <c r="Z459" t="str" cm="1">
        <f t="array" ref="Z459">_xlfn.IFS(Y459&lt;0, "Invalid Date", ISBLANK(G459), "Missing Region", TRUE, "Clean")</f>
        <v>Invalid Date</v>
      </c>
    </row>
    <row r="460" spans="1:26">
      <c r="A460" t="s">
        <v>1040</v>
      </c>
      <c r="B460" s="4">
        <v>45567</v>
      </c>
      <c r="C460" s="6">
        <v>45333</v>
      </c>
      <c r="D460" t="s">
        <v>2399</v>
      </c>
      <c r="E460" t="s">
        <v>22</v>
      </c>
      <c r="F460" t="s">
        <v>81</v>
      </c>
      <c r="G460" t="s">
        <v>24</v>
      </c>
      <c r="H460" t="s">
        <v>25</v>
      </c>
      <c r="I460" t="s">
        <v>26</v>
      </c>
      <c r="J460" t="s">
        <v>68</v>
      </c>
      <c r="K460" t="s">
        <v>144</v>
      </c>
      <c r="L460" t="s">
        <v>1041</v>
      </c>
      <c r="M460" t="s">
        <v>30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31</v>
      </c>
      <c r="U460" t="s">
        <v>32</v>
      </c>
      <c r="V460">
        <f t="shared" si="29"/>
        <v>8596.0439999999999</v>
      </c>
      <c r="W460">
        <f t="shared" si="30"/>
        <v>3217.884</v>
      </c>
      <c r="X460">
        <f t="shared" si="31"/>
        <v>37.434475672762964</v>
      </c>
      <c r="Y460">
        <f t="shared" si="32"/>
        <v>-234</v>
      </c>
      <c r="Z460" t="str" cm="1">
        <f t="array" ref="Z460">_xlfn.IFS(Y460&lt;0, "Invalid Date", ISBLANK(G460), "Missing Region", TRUE, "Clean")</f>
        <v>Invalid Date</v>
      </c>
    </row>
    <row r="461" spans="1:26">
      <c r="A461" t="s">
        <v>1042</v>
      </c>
      <c r="B461" s="4">
        <v>45379</v>
      </c>
      <c r="C461" s="6">
        <v>45386</v>
      </c>
      <c r="D461" t="s">
        <v>2400</v>
      </c>
      <c r="E461" t="s">
        <v>57</v>
      </c>
      <c r="F461" t="s">
        <v>85</v>
      </c>
      <c r="G461" t="s">
        <v>58</v>
      </c>
      <c r="H461" t="s">
        <v>159</v>
      </c>
      <c r="I461" t="s">
        <v>160</v>
      </c>
      <c r="J461" t="s">
        <v>27</v>
      </c>
      <c r="K461" t="s">
        <v>28</v>
      </c>
      <c r="L461" t="s">
        <v>1043</v>
      </c>
      <c r="M461" t="s">
        <v>47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31</v>
      </c>
      <c r="U461" t="s">
        <v>32</v>
      </c>
      <c r="V461">
        <f t="shared" si="29"/>
        <v>3452.76</v>
      </c>
      <c r="W461">
        <f t="shared" si="30"/>
        <v>1374.8000000000002</v>
      </c>
      <c r="X461">
        <f t="shared" si="31"/>
        <v>39.817421425178701</v>
      </c>
      <c r="Y461">
        <f t="shared" si="32"/>
        <v>7</v>
      </c>
      <c r="Z461" t="str" cm="1">
        <f t="array" ref="Z461">_xlfn.IFS(Y461&lt;0, "Invalid Date", ISBLANK(G461), "Missing Region", TRUE, "Clean")</f>
        <v>Clean</v>
      </c>
    </row>
    <row r="462" spans="1:26">
      <c r="A462" t="s">
        <v>1044</v>
      </c>
      <c r="B462" s="4">
        <v>45930</v>
      </c>
      <c r="C462" s="6">
        <v>45818</v>
      </c>
      <c r="D462" t="s">
        <v>2401</v>
      </c>
      <c r="E462" t="s">
        <v>111</v>
      </c>
      <c r="F462" t="s">
        <v>81</v>
      </c>
      <c r="G462" t="s">
        <v>2806</v>
      </c>
      <c r="H462" t="s">
        <v>25</v>
      </c>
      <c r="I462" t="s">
        <v>26</v>
      </c>
      <c r="J462" t="s">
        <v>68</v>
      </c>
      <c r="K462" t="s">
        <v>73</v>
      </c>
      <c r="L462" t="s">
        <v>1045</v>
      </c>
      <c r="M462" t="s">
        <v>30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31</v>
      </c>
      <c r="U462" t="s">
        <v>32</v>
      </c>
      <c r="V462">
        <f t="shared" si="29"/>
        <v>11626.974000000002</v>
      </c>
      <c r="W462">
        <f t="shared" si="30"/>
        <v>4232.9040000000023</v>
      </c>
      <c r="X462">
        <f t="shared" si="31"/>
        <v>36.405895463428415</v>
      </c>
      <c r="Y462">
        <f t="shared" si="32"/>
        <v>-112</v>
      </c>
      <c r="Z462" t="str" cm="1">
        <f t="array" ref="Z462">_xlfn.IFS(Y462&lt;0, "Invalid Date", ISBLANK(G462), "Missing Region", TRUE, "Clean")</f>
        <v>Invalid Date</v>
      </c>
    </row>
    <row r="463" spans="1:26">
      <c r="A463" t="s">
        <v>1046</v>
      </c>
      <c r="B463" s="4">
        <v>45802</v>
      </c>
      <c r="C463" s="6">
        <v>45803</v>
      </c>
      <c r="D463" t="s">
        <v>2402</v>
      </c>
      <c r="E463" t="s">
        <v>72</v>
      </c>
      <c r="F463" t="s">
        <v>81</v>
      </c>
      <c r="G463" t="s">
        <v>50</v>
      </c>
      <c r="H463" t="s">
        <v>76</v>
      </c>
      <c r="I463" t="s">
        <v>77</v>
      </c>
      <c r="J463" t="s">
        <v>27</v>
      </c>
      <c r="K463" t="s">
        <v>28</v>
      </c>
      <c r="L463" t="s">
        <v>1047</v>
      </c>
      <c r="M463" t="s">
        <v>55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31</v>
      </c>
      <c r="U463" t="s">
        <v>32</v>
      </c>
      <c r="V463">
        <f t="shared" si="29"/>
        <v>8614.2825000000012</v>
      </c>
      <c r="W463">
        <f t="shared" si="30"/>
        <v>1562.2025000000012</v>
      </c>
      <c r="X463">
        <f t="shared" si="31"/>
        <v>18.135027496486224</v>
      </c>
      <c r="Y463">
        <f t="shared" si="32"/>
        <v>1</v>
      </c>
      <c r="Z463" t="str" cm="1">
        <f t="array" ref="Z463">_xlfn.IFS(Y463&lt;0, "Invalid Date", ISBLANK(G463), "Missing Region", TRUE, "Clean")</f>
        <v>Clean</v>
      </c>
    </row>
    <row r="464" spans="1:26">
      <c r="A464" t="s">
        <v>1048</v>
      </c>
      <c r="B464" s="4">
        <v>45558</v>
      </c>
      <c r="C464" s="6">
        <v>45560</v>
      </c>
      <c r="D464" t="s">
        <v>2403</v>
      </c>
      <c r="E464" t="s">
        <v>111</v>
      </c>
      <c r="F464" t="s">
        <v>85</v>
      </c>
      <c r="G464" t="s">
        <v>24</v>
      </c>
      <c r="H464" t="s">
        <v>270</v>
      </c>
      <c r="I464" t="s">
        <v>271</v>
      </c>
      <c r="J464" t="s">
        <v>27</v>
      </c>
      <c r="K464" t="s">
        <v>130</v>
      </c>
      <c r="L464" t="s">
        <v>1049</v>
      </c>
      <c r="M464" t="s">
        <v>47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31</v>
      </c>
      <c r="U464" t="s">
        <v>32</v>
      </c>
      <c r="V464">
        <f t="shared" si="29"/>
        <v>2040.2240000000002</v>
      </c>
      <c r="W464">
        <f t="shared" si="30"/>
        <v>644.51400000000012</v>
      </c>
      <c r="X464">
        <f t="shared" si="31"/>
        <v>31.590354784572678</v>
      </c>
      <c r="Y464">
        <f t="shared" si="32"/>
        <v>2</v>
      </c>
      <c r="Z464" t="str" cm="1">
        <f t="array" ref="Z464">_xlfn.IFS(Y464&lt;0, "Invalid Date", ISBLANK(G464), "Missing Region", TRUE, "Clean")</f>
        <v>Clean</v>
      </c>
    </row>
    <row r="465" spans="1:26">
      <c r="A465" t="s">
        <v>1050</v>
      </c>
      <c r="B465" s="4">
        <v>45840</v>
      </c>
      <c r="C465" s="6">
        <v>45871</v>
      </c>
      <c r="D465" t="s">
        <v>2404</v>
      </c>
      <c r="E465" t="s">
        <v>49</v>
      </c>
      <c r="F465" t="s">
        <v>81</v>
      </c>
      <c r="G465" t="s">
        <v>58</v>
      </c>
      <c r="H465" t="s">
        <v>66</v>
      </c>
      <c r="I465" t="s">
        <v>67</v>
      </c>
      <c r="J465" t="s">
        <v>68</v>
      </c>
      <c r="K465" t="s">
        <v>144</v>
      </c>
      <c r="L465" t="s">
        <v>1051</v>
      </c>
      <c r="M465" t="s">
        <v>55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31</v>
      </c>
      <c r="U465" t="s">
        <v>32</v>
      </c>
      <c r="V465">
        <f t="shared" si="29"/>
        <v>2846.4</v>
      </c>
      <c r="W465">
        <f t="shared" si="30"/>
        <v>714.0300000000002</v>
      </c>
      <c r="X465">
        <f t="shared" si="31"/>
        <v>25.085370994940988</v>
      </c>
      <c r="Y465">
        <f t="shared" si="32"/>
        <v>31</v>
      </c>
      <c r="Z465" t="str" cm="1">
        <f t="array" ref="Z465">_xlfn.IFS(Y465&lt;0, "Invalid Date", ISBLANK(G465), "Missing Region", TRUE, "Clean")</f>
        <v>Clean</v>
      </c>
    </row>
    <row r="466" spans="1:26">
      <c r="A466" t="s">
        <v>1052</v>
      </c>
      <c r="B466" s="4">
        <v>45964</v>
      </c>
      <c r="C466" s="6">
        <v>45731</v>
      </c>
      <c r="D466" t="s">
        <v>2405</v>
      </c>
      <c r="E466" t="s">
        <v>49</v>
      </c>
      <c r="F466" t="s">
        <v>81</v>
      </c>
      <c r="G466" t="s">
        <v>36</v>
      </c>
      <c r="H466" t="s">
        <v>124</v>
      </c>
      <c r="I466" t="s">
        <v>125</v>
      </c>
      <c r="J466" t="s">
        <v>27</v>
      </c>
      <c r="K466" t="s">
        <v>28</v>
      </c>
      <c r="L466" t="s">
        <v>1053</v>
      </c>
      <c r="M466" t="s">
        <v>42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98</v>
      </c>
      <c r="U466" t="s">
        <v>63</v>
      </c>
      <c r="V466">
        <f t="shared" si="29"/>
        <v>10331.477999999999</v>
      </c>
      <c r="W466">
        <f t="shared" si="30"/>
        <v>3199.5679999999993</v>
      </c>
      <c r="X466">
        <f t="shared" si="31"/>
        <v>30.969121746181905</v>
      </c>
      <c r="Y466">
        <f t="shared" si="32"/>
        <v>-233</v>
      </c>
      <c r="Z466" t="str" cm="1">
        <f t="array" ref="Z466">_xlfn.IFS(Y466&lt;0, "Invalid Date", ISBLANK(G466), "Missing Region", TRUE, "Clean")</f>
        <v>Invalid Date</v>
      </c>
    </row>
    <row r="467" spans="1:26">
      <c r="A467" t="s">
        <v>1054</v>
      </c>
      <c r="B467" s="4">
        <v>45320</v>
      </c>
      <c r="C467" s="6">
        <v>45445</v>
      </c>
      <c r="D467" t="s">
        <v>2406</v>
      </c>
      <c r="E467" t="s">
        <v>111</v>
      </c>
      <c r="F467" t="s">
        <v>35</v>
      </c>
      <c r="G467" t="s">
        <v>58</v>
      </c>
      <c r="H467" t="s">
        <v>66</v>
      </c>
      <c r="I467" t="s">
        <v>67</v>
      </c>
      <c r="J467" t="s">
        <v>27</v>
      </c>
      <c r="K467" t="s">
        <v>82</v>
      </c>
      <c r="L467" t="s">
        <v>1055</v>
      </c>
      <c r="M467" t="s">
        <v>55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31</v>
      </c>
      <c r="U467" t="s">
        <v>32</v>
      </c>
      <c r="V467">
        <f t="shared" si="29"/>
        <v>2517.8000000000002</v>
      </c>
      <c r="W467">
        <f t="shared" si="30"/>
        <v>1039.2600000000002</v>
      </c>
      <c r="X467">
        <f t="shared" si="31"/>
        <v>41.276511239971406</v>
      </c>
      <c r="Y467">
        <f t="shared" si="32"/>
        <v>125</v>
      </c>
      <c r="Z467" t="str" cm="1">
        <f t="array" ref="Z467">_xlfn.IFS(Y467&lt;0, "Invalid Date", ISBLANK(G467), "Missing Region", TRUE, "Clean")</f>
        <v>Clean</v>
      </c>
    </row>
    <row r="468" spans="1:26">
      <c r="A468" t="s">
        <v>1056</v>
      </c>
      <c r="B468" s="4">
        <v>45383</v>
      </c>
      <c r="C468" s="6">
        <v>45299</v>
      </c>
      <c r="D468" t="s">
        <v>2407</v>
      </c>
      <c r="E468" t="s">
        <v>34</v>
      </c>
      <c r="F468" t="s">
        <v>35</v>
      </c>
      <c r="G468" t="s">
        <v>36</v>
      </c>
      <c r="H468" t="s">
        <v>124</v>
      </c>
      <c r="I468" t="s">
        <v>125</v>
      </c>
      <c r="J468" t="s">
        <v>68</v>
      </c>
      <c r="K468" t="s">
        <v>69</v>
      </c>
      <c r="L468" t="s">
        <v>1057</v>
      </c>
      <c r="M468" t="s">
        <v>42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31</v>
      </c>
      <c r="U468" t="s">
        <v>32</v>
      </c>
      <c r="V468">
        <f t="shared" si="29"/>
        <v>11462.112000000001</v>
      </c>
      <c r="W468">
        <f t="shared" si="30"/>
        <v>4356.6320000000014</v>
      </c>
      <c r="X468">
        <f t="shared" si="31"/>
        <v>38.008981241851423</v>
      </c>
      <c r="Y468">
        <f t="shared" si="32"/>
        <v>-84</v>
      </c>
      <c r="Z468" t="str" cm="1">
        <f t="array" ref="Z468">_xlfn.IFS(Y468&lt;0, "Invalid Date", ISBLANK(G468), "Missing Region", TRUE, "Clean")</f>
        <v>Invalid Date</v>
      </c>
    </row>
    <row r="469" spans="1:26">
      <c r="A469" t="s">
        <v>1058</v>
      </c>
      <c r="B469" s="4">
        <v>45524</v>
      </c>
      <c r="C469" s="6">
        <v>45525</v>
      </c>
      <c r="D469" t="s">
        <v>2408</v>
      </c>
      <c r="E469" t="s">
        <v>80</v>
      </c>
      <c r="F469" t="s">
        <v>81</v>
      </c>
      <c r="G469" t="s">
        <v>36</v>
      </c>
      <c r="H469" t="s">
        <v>37</v>
      </c>
      <c r="I469" t="s">
        <v>38</v>
      </c>
      <c r="J469" t="s">
        <v>68</v>
      </c>
      <c r="K469" t="s">
        <v>73</v>
      </c>
      <c r="L469" t="s">
        <v>1059</v>
      </c>
      <c r="M469" t="s">
        <v>47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91</v>
      </c>
      <c r="U469" t="s">
        <v>63</v>
      </c>
      <c r="V469">
        <f t="shared" si="29"/>
        <v>19297.485000000001</v>
      </c>
      <c r="W469">
        <f t="shared" si="30"/>
        <v>3845.8250000000007</v>
      </c>
      <c r="X469">
        <f t="shared" si="31"/>
        <v>19.929151389416809</v>
      </c>
      <c r="Y469">
        <f t="shared" si="32"/>
        <v>1</v>
      </c>
      <c r="Z469" t="str" cm="1">
        <f t="array" ref="Z469">_xlfn.IFS(Y469&lt;0, "Invalid Date", ISBLANK(G469), "Missing Region", TRUE, "Clean")</f>
        <v>Clean</v>
      </c>
    </row>
    <row r="470" spans="1:26">
      <c r="A470" t="s">
        <v>1060</v>
      </c>
      <c r="B470" s="4">
        <v>45901</v>
      </c>
      <c r="C470" s="6">
        <v>45839</v>
      </c>
      <c r="D470" t="s">
        <v>2409</v>
      </c>
      <c r="E470" t="s">
        <v>111</v>
      </c>
      <c r="F470" t="s">
        <v>85</v>
      </c>
      <c r="G470" t="s">
        <v>36</v>
      </c>
      <c r="H470" t="s">
        <v>88</v>
      </c>
      <c r="I470" t="s">
        <v>89</v>
      </c>
      <c r="J470" t="s">
        <v>27</v>
      </c>
      <c r="K470" t="s">
        <v>130</v>
      </c>
      <c r="L470" t="s">
        <v>1061</v>
      </c>
      <c r="M470" t="s">
        <v>30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31</v>
      </c>
      <c r="U470" t="s">
        <v>32</v>
      </c>
      <c r="V470">
        <f t="shared" si="29"/>
        <v>6564.99</v>
      </c>
      <c r="W470">
        <f t="shared" si="30"/>
        <v>1157.75</v>
      </c>
      <c r="X470">
        <f t="shared" si="31"/>
        <v>17.635213458055535</v>
      </c>
      <c r="Y470">
        <f t="shared" si="32"/>
        <v>-62</v>
      </c>
      <c r="Z470" t="str" cm="1">
        <f t="array" ref="Z470">_xlfn.IFS(Y470&lt;0, "Invalid Date", ISBLANK(G470), "Missing Region", TRUE, "Clean")</f>
        <v>Invalid Date</v>
      </c>
    </row>
    <row r="471" spans="1:26">
      <c r="A471" t="s">
        <v>1062</v>
      </c>
      <c r="B471" s="4">
        <v>45310</v>
      </c>
      <c r="C471" s="6">
        <v>45316</v>
      </c>
      <c r="D471" t="s">
        <v>2410</v>
      </c>
      <c r="E471" t="s">
        <v>80</v>
      </c>
      <c r="F471" t="s">
        <v>81</v>
      </c>
      <c r="G471" t="s">
        <v>58</v>
      </c>
      <c r="H471" t="s">
        <v>159</v>
      </c>
      <c r="I471" t="s">
        <v>160</v>
      </c>
      <c r="J471" t="s">
        <v>68</v>
      </c>
      <c r="K471" t="s">
        <v>73</v>
      </c>
      <c r="L471" t="s">
        <v>1063</v>
      </c>
      <c r="M471" t="s">
        <v>47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31</v>
      </c>
      <c r="U471" t="s">
        <v>32</v>
      </c>
      <c r="V471">
        <f t="shared" si="29"/>
        <v>2812.4820000000004</v>
      </c>
      <c r="W471">
        <f t="shared" si="30"/>
        <v>530.36200000000053</v>
      </c>
      <c r="X471">
        <f t="shared" si="31"/>
        <v>18.857436243147525</v>
      </c>
      <c r="Y471">
        <f t="shared" si="32"/>
        <v>6</v>
      </c>
      <c r="Z471" t="str" cm="1">
        <f t="array" ref="Z471">_xlfn.IFS(Y471&lt;0, "Invalid Date", ISBLANK(G471), "Missing Region", TRUE, "Clean")</f>
        <v>Clean</v>
      </c>
    </row>
    <row r="472" spans="1:26">
      <c r="A472" t="s">
        <v>1064</v>
      </c>
      <c r="B472" s="4">
        <v>45501</v>
      </c>
      <c r="C472" s="6">
        <v>45504</v>
      </c>
      <c r="D472" t="s">
        <v>2411</v>
      </c>
      <c r="E472" t="s">
        <v>80</v>
      </c>
      <c r="F472" t="s">
        <v>23</v>
      </c>
      <c r="G472" t="s">
        <v>24</v>
      </c>
      <c r="H472" t="s">
        <v>25</v>
      </c>
      <c r="I472" t="s">
        <v>26</v>
      </c>
      <c r="J472" t="s">
        <v>39</v>
      </c>
      <c r="K472" t="s">
        <v>40</v>
      </c>
      <c r="L472" t="s">
        <v>1065</v>
      </c>
      <c r="M472" t="s">
        <v>42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31</v>
      </c>
      <c r="U472" t="s">
        <v>32</v>
      </c>
      <c r="V472">
        <f t="shared" si="29"/>
        <v>7079.6480000000001</v>
      </c>
      <c r="W472">
        <f t="shared" si="30"/>
        <v>2613.7380000000003</v>
      </c>
      <c r="X472">
        <f t="shared" si="31"/>
        <v>36.919038912669109</v>
      </c>
      <c r="Y472">
        <f t="shared" si="32"/>
        <v>3</v>
      </c>
      <c r="Z472" t="str" cm="1">
        <f t="array" ref="Z472">_xlfn.IFS(Y472&lt;0, "Invalid Date", ISBLANK(G472), "Missing Region", TRUE, "Clean")</f>
        <v>Clean</v>
      </c>
    </row>
    <row r="473" spans="1:26">
      <c r="A473" t="s">
        <v>1066</v>
      </c>
      <c r="B473" s="4">
        <v>45598</v>
      </c>
      <c r="C473" s="6">
        <v>45337</v>
      </c>
      <c r="D473" t="s">
        <v>2412</v>
      </c>
      <c r="E473" t="s">
        <v>212</v>
      </c>
      <c r="F473" t="s">
        <v>23</v>
      </c>
      <c r="G473" t="s">
        <v>50</v>
      </c>
      <c r="H473" t="s">
        <v>51</v>
      </c>
      <c r="I473" t="s">
        <v>52</v>
      </c>
      <c r="J473" t="s">
        <v>27</v>
      </c>
      <c r="K473" t="s">
        <v>130</v>
      </c>
      <c r="L473" t="s">
        <v>1067</v>
      </c>
      <c r="M473" t="s">
        <v>55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31</v>
      </c>
      <c r="U473" t="s">
        <v>32</v>
      </c>
      <c r="V473">
        <f t="shared" si="29"/>
        <v>6793.0650000000005</v>
      </c>
      <c r="W473">
        <f t="shared" si="30"/>
        <v>1807.8450000000003</v>
      </c>
      <c r="X473">
        <f t="shared" si="31"/>
        <v>26.613097327936654</v>
      </c>
      <c r="Y473">
        <f t="shared" si="32"/>
        <v>-261</v>
      </c>
      <c r="Z473" t="str" cm="1">
        <f t="array" ref="Z473">_xlfn.IFS(Y473&lt;0, "Invalid Date", ISBLANK(G473), "Missing Region", TRUE, "Clean")</f>
        <v>Invalid Date</v>
      </c>
    </row>
    <row r="474" spans="1:26">
      <c r="A474" t="s">
        <v>1068</v>
      </c>
      <c r="B474" s="4">
        <v>45325</v>
      </c>
      <c r="C474" s="6">
        <v>45358</v>
      </c>
      <c r="D474" t="s">
        <v>2413</v>
      </c>
      <c r="E474" t="s">
        <v>121</v>
      </c>
      <c r="F474" t="s">
        <v>81</v>
      </c>
      <c r="G474" t="s">
        <v>36</v>
      </c>
      <c r="H474" t="s">
        <v>37</v>
      </c>
      <c r="I474" t="s">
        <v>38</v>
      </c>
      <c r="J474" t="s">
        <v>27</v>
      </c>
      <c r="K474" t="s">
        <v>108</v>
      </c>
      <c r="L474" t="s">
        <v>1069</v>
      </c>
      <c r="M474" t="s">
        <v>55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31</v>
      </c>
      <c r="U474" t="s">
        <v>32</v>
      </c>
      <c r="V474">
        <f t="shared" si="29"/>
        <v>1844.2199999999998</v>
      </c>
      <c r="W474">
        <f t="shared" si="30"/>
        <v>750.00999999999976</v>
      </c>
      <c r="X474">
        <f t="shared" si="31"/>
        <v>40.668141544934976</v>
      </c>
      <c r="Y474">
        <f t="shared" si="32"/>
        <v>33</v>
      </c>
      <c r="Z474" t="str" cm="1">
        <f t="array" ref="Z474">_xlfn.IFS(Y474&lt;0, "Invalid Date", ISBLANK(G474), "Missing Region", TRUE, "Clean")</f>
        <v>Clean</v>
      </c>
    </row>
    <row r="475" spans="1:26">
      <c r="A475" t="s">
        <v>1070</v>
      </c>
      <c r="B475" s="4">
        <v>45609</v>
      </c>
      <c r="C475" s="6">
        <v>45609</v>
      </c>
      <c r="D475" t="s">
        <v>2414</v>
      </c>
      <c r="E475" t="s">
        <v>100</v>
      </c>
      <c r="F475" t="s">
        <v>23</v>
      </c>
      <c r="G475" t="s">
        <v>58</v>
      </c>
      <c r="H475" t="s">
        <v>159</v>
      </c>
      <c r="I475" t="s">
        <v>160</v>
      </c>
      <c r="J475" t="s">
        <v>68</v>
      </c>
      <c r="K475" t="s">
        <v>73</v>
      </c>
      <c r="L475" t="s">
        <v>1071</v>
      </c>
      <c r="M475" t="s">
        <v>55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31</v>
      </c>
      <c r="U475" t="s">
        <v>32</v>
      </c>
      <c r="V475">
        <f t="shared" si="29"/>
        <v>918.95999999999992</v>
      </c>
      <c r="W475">
        <f t="shared" si="30"/>
        <v>364.78</v>
      </c>
      <c r="X475">
        <f t="shared" si="31"/>
        <v>39.694872464525119</v>
      </c>
      <c r="Y475">
        <f t="shared" si="32"/>
        <v>0</v>
      </c>
      <c r="Z475" t="str" cm="1">
        <f t="array" ref="Z475">_xlfn.IFS(Y475&lt;0, "Invalid Date", ISBLANK(G475), "Missing Region", TRUE, "Clean")</f>
        <v>Clean</v>
      </c>
    </row>
    <row r="476" spans="1:26">
      <c r="A476" t="s">
        <v>1072</v>
      </c>
      <c r="B476" s="4">
        <v>45357</v>
      </c>
      <c r="C476" s="6">
        <v>45571</v>
      </c>
      <c r="D476" t="s">
        <v>2415</v>
      </c>
      <c r="E476" t="s">
        <v>137</v>
      </c>
      <c r="F476" t="s">
        <v>81</v>
      </c>
      <c r="G476" t="s">
        <v>24</v>
      </c>
      <c r="H476" t="s">
        <v>106</v>
      </c>
      <c r="I476" t="s">
        <v>107</v>
      </c>
      <c r="J476" t="s">
        <v>39</v>
      </c>
      <c r="K476" t="s">
        <v>53</v>
      </c>
      <c r="L476" t="s">
        <v>1073</v>
      </c>
      <c r="M476" t="s">
        <v>55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31</v>
      </c>
      <c r="U476" t="s">
        <v>32</v>
      </c>
      <c r="V476">
        <f t="shared" si="29"/>
        <v>4900.71</v>
      </c>
      <c r="W476">
        <f t="shared" si="30"/>
        <v>2186.81</v>
      </c>
      <c r="X476">
        <f t="shared" si="31"/>
        <v>44.622309828575858</v>
      </c>
      <c r="Y476">
        <f t="shared" si="32"/>
        <v>214</v>
      </c>
      <c r="Z476" t="str" cm="1">
        <f t="array" ref="Z476">_xlfn.IFS(Y476&lt;0, "Invalid Date", ISBLANK(G476), "Missing Region", TRUE, "Clean")</f>
        <v>Clean</v>
      </c>
    </row>
    <row r="477" spans="1:26">
      <c r="A477" t="s">
        <v>1074</v>
      </c>
      <c r="B477" s="4">
        <v>45717</v>
      </c>
      <c r="C477" s="6">
        <v>45872</v>
      </c>
      <c r="D477" t="s">
        <v>2416</v>
      </c>
      <c r="E477" t="s">
        <v>65</v>
      </c>
      <c r="F477" t="s">
        <v>23</v>
      </c>
      <c r="G477" t="s">
        <v>36</v>
      </c>
      <c r="H477" t="s">
        <v>88</v>
      </c>
      <c r="I477" t="s">
        <v>89</v>
      </c>
      <c r="J477" t="s">
        <v>39</v>
      </c>
      <c r="K477" t="s">
        <v>61</v>
      </c>
      <c r="L477" t="s">
        <v>1075</v>
      </c>
      <c r="M477" t="s">
        <v>42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98</v>
      </c>
      <c r="U477" t="s">
        <v>92</v>
      </c>
      <c r="V477">
        <f t="shared" si="29"/>
        <v>20272.920000000002</v>
      </c>
      <c r="W477">
        <f t="shared" si="30"/>
        <v>4399.5400000000027</v>
      </c>
      <c r="X477">
        <f t="shared" si="31"/>
        <v>21.701560505344087</v>
      </c>
      <c r="Y477">
        <f t="shared" si="32"/>
        <v>155</v>
      </c>
      <c r="Z477" t="str" cm="1">
        <f t="array" ref="Z477">_xlfn.IFS(Y477&lt;0, "Invalid Date", ISBLANK(G477), "Missing Region", TRUE, "Clean")</f>
        <v>Clean</v>
      </c>
    </row>
    <row r="478" spans="1:26">
      <c r="A478" t="s">
        <v>1076</v>
      </c>
      <c r="B478" s="4">
        <v>45419</v>
      </c>
      <c r="C478" s="6">
        <v>45426</v>
      </c>
      <c r="D478" t="s">
        <v>2417</v>
      </c>
      <c r="E478" t="s">
        <v>114</v>
      </c>
      <c r="F478" t="s">
        <v>35</v>
      </c>
      <c r="G478" t="s">
        <v>24</v>
      </c>
      <c r="H478" t="s">
        <v>25</v>
      </c>
      <c r="I478" t="s">
        <v>26</v>
      </c>
      <c r="J478" t="s">
        <v>27</v>
      </c>
      <c r="K478" t="s">
        <v>108</v>
      </c>
      <c r="L478" t="s">
        <v>1077</v>
      </c>
      <c r="M478" t="s">
        <v>47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31</v>
      </c>
      <c r="U478" t="s">
        <v>32</v>
      </c>
      <c r="V478">
        <f t="shared" si="29"/>
        <v>1035.6659999999999</v>
      </c>
      <c r="W478">
        <f t="shared" si="30"/>
        <v>440.24599999999998</v>
      </c>
      <c r="X478">
        <f t="shared" si="31"/>
        <v>42.508492120046427</v>
      </c>
      <c r="Y478">
        <f t="shared" si="32"/>
        <v>7</v>
      </c>
      <c r="Z478" t="str" cm="1">
        <f t="array" ref="Z478">_xlfn.IFS(Y478&lt;0, "Invalid Date", ISBLANK(G478), "Missing Region", TRUE, "Clean")</f>
        <v>Clean</v>
      </c>
    </row>
    <row r="479" spans="1:26">
      <c r="A479" t="s">
        <v>1078</v>
      </c>
      <c r="B479" s="4">
        <v>45892</v>
      </c>
      <c r="C479" s="6">
        <v>45897</v>
      </c>
      <c r="D479" t="s">
        <v>2418</v>
      </c>
      <c r="E479" t="s">
        <v>65</v>
      </c>
      <c r="F479" t="s">
        <v>81</v>
      </c>
      <c r="G479" t="s">
        <v>58</v>
      </c>
      <c r="H479" t="s">
        <v>151</v>
      </c>
      <c r="I479" t="s">
        <v>152</v>
      </c>
      <c r="J479" t="s">
        <v>39</v>
      </c>
      <c r="K479" t="s">
        <v>61</v>
      </c>
      <c r="L479" t="s">
        <v>1079</v>
      </c>
      <c r="M479" t="s">
        <v>55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31</v>
      </c>
      <c r="U479" t="s">
        <v>63</v>
      </c>
      <c r="V479">
        <f t="shared" si="29"/>
        <v>11843.442000000001</v>
      </c>
      <c r="W479">
        <f t="shared" si="30"/>
        <v>2486.5620000000017</v>
      </c>
      <c r="X479">
        <f t="shared" si="31"/>
        <v>20.995264721184952</v>
      </c>
      <c r="Y479">
        <f t="shared" si="32"/>
        <v>5</v>
      </c>
      <c r="Z479" t="str" cm="1">
        <f t="array" ref="Z479">_xlfn.IFS(Y479&lt;0, "Invalid Date", ISBLANK(G479), "Missing Region", TRUE, "Clean")</f>
        <v>Clean</v>
      </c>
    </row>
    <row r="480" spans="1:26">
      <c r="A480" t="s">
        <v>1080</v>
      </c>
      <c r="B480" s="4">
        <v>45452</v>
      </c>
      <c r="C480" s="6">
        <v>45456</v>
      </c>
      <c r="D480" t="s">
        <v>2419</v>
      </c>
      <c r="E480" t="s">
        <v>34</v>
      </c>
      <c r="F480" t="s">
        <v>85</v>
      </c>
      <c r="G480" t="s">
        <v>2806</v>
      </c>
      <c r="H480" t="s">
        <v>117</v>
      </c>
      <c r="I480" t="s">
        <v>118</v>
      </c>
      <c r="J480" t="s">
        <v>68</v>
      </c>
      <c r="K480" t="s">
        <v>219</v>
      </c>
      <c r="L480" t="s">
        <v>1081</v>
      </c>
      <c r="M480" t="s">
        <v>42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91</v>
      </c>
      <c r="U480" t="s">
        <v>92</v>
      </c>
      <c r="V480">
        <f t="shared" si="29"/>
        <v>25702.173000000003</v>
      </c>
      <c r="W480">
        <f t="shared" si="30"/>
        <v>11130.693000000003</v>
      </c>
      <c r="X480">
        <f t="shared" si="31"/>
        <v>43.306427826160856</v>
      </c>
      <c r="Y480">
        <f t="shared" si="32"/>
        <v>4</v>
      </c>
      <c r="Z480" t="str" cm="1">
        <f t="array" ref="Z480">_xlfn.IFS(Y480&lt;0, "Invalid Date", ISBLANK(G480), "Missing Region", TRUE, "Clean")</f>
        <v>Clean</v>
      </c>
    </row>
    <row r="481" spans="1:26">
      <c r="A481" t="s">
        <v>1082</v>
      </c>
      <c r="B481" s="4">
        <v>45345</v>
      </c>
      <c r="C481" s="6">
        <v>45342</v>
      </c>
      <c r="D481" t="s">
        <v>2420</v>
      </c>
      <c r="E481" t="s">
        <v>49</v>
      </c>
      <c r="F481" t="s">
        <v>81</v>
      </c>
      <c r="G481" t="s">
        <v>36</v>
      </c>
      <c r="H481" t="s">
        <v>37</v>
      </c>
      <c r="I481" t="s">
        <v>38</v>
      </c>
      <c r="J481" t="s">
        <v>39</v>
      </c>
      <c r="K481" t="s">
        <v>61</v>
      </c>
      <c r="L481" t="s">
        <v>1083</v>
      </c>
      <c r="M481" t="s">
        <v>30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31</v>
      </c>
      <c r="U481" t="s">
        <v>32</v>
      </c>
      <c r="V481">
        <f t="shared" si="29"/>
        <v>2202.5500000000002</v>
      </c>
      <c r="W481">
        <f t="shared" si="30"/>
        <v>1167.9800000000002</v>
      </c>
      <c r="X481">
        <f t="shared" si="31"/>
        <v>53.028535107035033</v>
      </c>
      <c r="Y481">
        <f t="shared" si="32"/>
        <v>-3</v>
      </c>
      <c r="Z481" t="str" cm="1">
        <f t="array" ref="Z481">_xlfn.IFS(Y481&lt;0, "Invalid Date", ISBLANK(G481), "Missing Region", TRUE, "Clean")</f>
        <v>Invalid Date</v>
      </c>
    </row>
    <row r="482" spans="1:26">
      <c r="A482" t="s">
        <v>1084</v>
      </c>
      <c r="B482" s="4">
        <v>45778</v>
      </c>
      <c r="C482" s="6">
        <v>45901</v>
      </c>
      <c r="D482" t="s">
        <v>2421</v>
      </c>
      <c r="E482" t="s">
        <v>72</v>
      </c>
      <c r="F482" t="s">
        <v>35</v>
      </c>
      <c r="G482" t="s">
        <v>50</v>
      </c>
      <c r="H482" t="s">
        <v>200</v>
      </c>
      <c r="I482" t="s">
        <v>201</v>
      </c>
      <c r="J482" t="s">
        <v>27</v>
      </c>
      <c r="K482" t="s">
        <v>108</v>
      </c>
      <c r="L482" t="s">
        <v>1085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31</v>
      </c>
      <c r="U482" t="s">
        <v>32</v>
      </c>
      <c r="V482">
        <f t="shared" si="29"/>
        <v>4525.8</v>
      </c>
      <c r="W482">
        <f t="shared" si="30"/>
        <v>1811.29</v>
      </c>
      <c r="X482">
        <f t="shared" si="31"/>
        <v>40.021432674886206</v>
      </c>
      <c r="Y482">
        <f t="shared" si="32"/>
        <v>123</v>
      </c>
      <c r="Z482" t="str" cm="1">
        <f t="array" ref="Z482">_xlfn.IFS(Y482&lt;0, "Invalid Date", ISBLANK(G482), "Missing Region", TRUE, "Clean")</f>
        <v>Clean</v>
      </c>
    </row>
    <row r="483" spans="1:26">
      <c r="A483" t="s">
        <v>1086</v>
      </c>
      <c r="B483" s="4">
        <v>45783</v>
      </c>
      <c r="C483" s="6">
        <v>45821</v>
      </c>
      <c r="D483" t="s">
        <v>2422</v>
      </c>
      <c r="E483" t="s">
        <v>44</v>
      </c>
      <c r="F483" t="s">
        <v>23</v>
      </c>
      <c r="G483" t="s">
        <v>24</v>
      </c>
      <c r="H483" t="s">
        <v>117</v>
      </c>
      <c r="I483" t="s">
        <v>118</v>
      </c>
      <c r="J483" t="s">
        <v>68</v>
      </c>
      <c r="K483" t="s">
        <v>219</v>
      </c>
      <c r="L483" t="s">
        <v>1087</v>
      </c>
      <c r="M483" t="s">
        <v>42</v>
      </c>
      <c r="N483">
        <v>4</v>
      </c>
      <c r="O483">
        <v>2793.88</v>
      </c>
      <c r="P483" t="s">
        <v>555</v>
      </c>
      <c r="Q483">
        <v>10616.74</v>
      </c>
      <c r="R483">
        <v>6353.59</v>
      </c>
      <c r="S483">
        <v>4263.1499999999996</v>
      </c>
      <c r="T483" t="s">
        <v>31</v>
      </c>
      <c r="U483" t="s">
        <v>32</v>
      </c>
      <c r="V483">
        <f t="shared" si="29"/>
        <v>1676.3280000000002</v>
      </c>
      <c r="W483">
        <f t="shared" si="30"/>
        <v>-4677.2619999999997</v>
      </c>
      <c r="X483">
        <f t="shared" si="31"/>
        <v>-279.01830667983825</v>
      </c>
      <c r="Y483">
        <f t="shared" si="32"/>
        <v>38</v>
      </c>
      <c r="Z483" t="str" cm="1">
        <f t="array" ref="Z483">_xlfn.IFS(Y483&lt;0, "Invalid Date", ISBLANK(G483), "Missing Region", TRUE, "Clean")</f>
        <v>Clean</v>
      </c>
    </row>
    <row r="484" spans="1:26">
      <c r="A484" t="s">
        <v>1088</v>
      </c>
      <c r="B484" s="4">
        <v>45495</v>
      </c>
      <c r="C484" s="6">
        <v>45495</v>
      </c>
      <c r="D484" t="s">
        <v>2423</v>
      </c>
      <c r="E484" t="s">
        <v>100</v>
      </c>
      <c r="F484" t="s">
        <v>23</v>
      </c>
      <c r="G484" t="s">
        <v>50</v>
      </c>
      <c r="H484" t="s">
        <v>147</v>
      </c>
      <c r="I484" t="s">
        <v>148</v>
      </c>
      <c r="J484" t="s">
        <v>68</v>
      </c>
      <c r="K484" t="s">
        <v>69</v>
      </c>
      <c r="L484" t="s">
        <v>1089</v>
      </c>
      <c r="M484" t="s">
        <v>30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31</v>
      </c>
      <c r="U484" t="s">
        <v>32</v>
      </c>
      <c r="V484">
        <f t="shared" si="29"/>
        <v>2893.9949999999999</v>
      </c>
      <c r="W484">
        <f t="shared" si="30"/>
        <v>1037.9649999999999</v>
      </c>
      <c r="X484">
        <f t="shared" si="31"/>
        <v>35.866164247001116</v>
      </c>
      <c r="Y484">
        <f t="shared" si="32"/>
        <v>0</v>
      </c>
      <c r="Z484" t="str" cm="1">
        <f t="array" ref="Z484">_xlfn.IFS(Y484&lt;0, "Invalid Date", ISBLANK(G484), "Missing Region", TRUE, "Clean")</f>
        <v>Clean</v>
      </c>
    </row>
    <row r="485" spans="1:26">
      <c r="A485" t="s">
        <v>1090</v>
      </c>
      <c r="B485" s="4">
        <v>45651</v>
      </c>
      <c r="C485" s="6">
        <v>45651</v>
      </c>
      <c r="D485" t="s">
        <v>2424</v>
      </c>
      <c r="E485" t="s">
        <v>34</v>
      </c>
      <c r="F485" t="s">
        <v>81</v>
      </c>
      <c r="G485" t="s">
        <v>36</v>
      </c>
      <c r="H485" t="s">
        <v>124</v>
      </c>
      <c r="I485" t="s">
        <v>125</v>
      </c>
      <c r="J485" t="s">
        <v>68</v>
      </c>
      <c r="K485" t="s">
        <v>73</v>
      </c>
      <c r="L485" t="s">
        <v>1091</v>
      </c>
      <c r="M485" t="s">
        <v>55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31</v>
      </c>
      <c r="U485" t="s">
        <v>32</v>
      </c>
      <c r="V485">
        <f t="shared" si="29"/>
        <v>705.2109999999999</v>
      </c>
      <c r="W485">
        <f t="shared" si="30"/>
        <v>266.89099999999991</v>
      </c>
      <c r="X485">
        <f t="shared" si="31"/>
        <v>37.845552607659258</v>
      </c>
      <c r="Y485">
        <f t="shared" si="32"/>
        <v>0</v>
      </c>
      <c r="Z485" t="str" cm="1">
        <f t="array" ref="Z485">_xlfn.IFS(Y485&lt;0, "Invalid Date", ISBLANK(G485), "Missing Region", TRUE, "Clean")</f>
        <v>Clean</v>
      </c>
    </row>
    <row r="486" spans="1:26">
      <c r="A486" t="s">
        <v>1092</v>
      </c>
      <c r="B486" s="4">
        <v>45654</v>
      </c>
      <c r="C486" s="6">
        <v>45657</v>
      </c>
      <c r="D486" t="s">
        <v>2425</v>
      </c>
      <c r="E486" t="s">
        <v>34</v>
      </c>
      <c r="F486" t="s">
        <v>35</v>
      </c>
      <c r="G486" t="s">
        <v>50</v>
      </c>
      <c r="H486" t="s">
        <v>76</v>
      </c>
      <c r="I486" t="s">
        <v>77</v>
      </c>
      <c r="J486" t="s">
        <v>39</v>
      </c>
      <c r="K486" t="s">
        <v>53</v>
      </c>
      <c r="L486" t="s">
        <v>1093</v>
      </c>
      <c r="M486" t="s">
        <v>47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31</v>
      </c>
      <c r="U486" t="s">
        <v>32</v>
      </c>
      <c r="V486">
        <f t="shared" si="29"/>
        <v>16385.489999999998</v>
      </c>
      <c r="W486">
        <f t="shared" si="30"/>
        <v>2706.2499999999982</v>
      </c>
      <c r="X486">
        <f t="shared" si="31"/>
        <v>16.516137143289573</v>
      </c>
      <c r="Y486">
        <f t="shared" si="32"/>
        <v>3</v>
      </c>
      <c r="Z486" t="str" cm="1">
        <f t="array" ref="Z486">_xlfn.IFS(Y486&lt;0, "Invalid Date", ISBLANK(G486), "Missing Region", TRUE, "Clean")</f>
        <v>Clean</v>
      </c>
    </row>
    <row r="487" spans="1:26">
      <c r="A487" t="s">
        <v>1094</v>
      </c>
      <c r="B487" s="4">
        <v>45679</v>
      </c>
      <c r="C487" s="6">
        <v>45680</v>
      </c>
      <c r="D487" t="s">
        <v>2426</v>
      </c>
      <c r="E487" t="s">
        <v>103</v>
      </c>
      <c r="F487" t="s">
        <v>81</v>
      </c>
      <c r="G487" t="s">
        <v>58</v>
      </c>
      <c r="H487" t="s">
        <v>159</v>
      </c>
      <c r="I487" t="s">
        <v>160</v>
      </c>
      <c r="J487" t="s">
        <v>39</v>
      </c>
      <c r="K487" t="s">
        <v>134</v>
      </c>
      <c r="L487" t="s">
        <v>1095</v>
      </c>
      <c r="M487" t="s">
        <v>55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31</v>
      </c>
      <c r="U487" t="s">
        <v>32</v>
      </c>
      <c r="V487">
        <f t="shared" si="29"/>
        <v>7665.57</v>
      </c>
      <c r="W487">
        <f t="shared" si="30"/>
        <v>2069.9699999999993</v>
      </c>
      <c r="X487">
        <f t="shared" si="31"/>
        <v>27.003471366121495</v>
      </c>
      <c r="Y487">
        <f t="shared" si="32"/>
        <v>1</v>
      </c>
      <c r="Z487" t="str" cm="1">
        <f t="array" ref="Z487">_xlfn.IFS(Y487&lt;0, "Invalid Date", ISBLANK(G487), "Missing Region", TRUE, "Clean")</f>
        <v>Clean</v>
      </c>
    </row>
    <row r="488" spans="1:26">
      <c r="A488" t="s">
        <v>1096</v>
      </c>
      <c r="B488" s="4">
        <v>45830</v>
      </c>
      <c r="C488" s="6">
        <v>45834</v>
      </c>
      <c r="D488" t="s">
        <v>2427</v>
      </c>
      <c r="E488" t="s">
        <v>103</v>
      </c>
      <c r="F488" t="s">
        <v>81</v>
      </c>
      <c r="G488" t="s">
        <v>58</v>
      </c>
      <c r="H488" t="s">
        <v>159</v>
      </c>
      <c r="I488" t="s">
        <v>160</v>
      </c>
      <c r="J488" t="s">
        <v>39</v>
      </c>
      <c r="K488" t="s">
        <v>40</v>
      </c>
      <c r="L488" t="s">
        <v>1097</v>
      </c>
      <c r="M488" t="s">
        <v>55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31</v>
      </c>
      <c r="U488" t="s">
        <v>32</v>
      </c>
      <c r="V488">
        <f t="shared" si="29"/>
        <v>4670.8320000000003</v>
      </c>
      <c r="W488">
        <f t="shared" si="30"/>
        <v>1504.3420000000006</v>
      </c>
      <c r="X488">
        <f t="shared" si="31"/>
        <v>32.207152815601169</v>
      </c>
      <c r="Y488">
        <f t="shared" si="32"/>
        <v>4</v>
      </c>
      <c r="Z488" t="str" cm="1">
        <f t="array" ref="Z488">_xlfn.IFS(Y488&lt;0, "Invalid Date", ISBLANK(G488), "Missing Region", TRUE, "Clean")</f>
        <v>Clean</v>
      </c>
    </row>
    <row r="489" spans="1:26">
      <c r="A489" t="s">
        <v>1098</v>
      </c>
      <c r="B489" s="4">
        <v>45936</v>
      </c>
      <c r="C489" s="6">
        <v>45825</v>
      </c>
      <c r="D489" t="s">
        <v>2428</v>
      </c>
      <c r="E489" t="s">
        <v>103</v>
      </c>
      <c r="F489" t="s">
        <v>81</v>
      </c>
      <c r="G489" t="s">
        <v>50</v>
      </c>
      <c r="H489" t="s">
        <v>51</v>
      </c>
      <c r="I489" t="s">
        <v>52</v>
      </c>
      <c r="J489" t="s">
        <v>39</v>
      </c>
      <c r="K489" t="s">
        <v>53</v>
      </c>
      <c r="L489" t="s">
        <v>1099</v>
      </c>
      <c r="M489" t="s">
        <v>55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91</v>
      </c>
      <c r="U489" t="s">
        <v>92</v>
      </c>
      <c r="V489">
        <f t="shared" si="29"/>
        <v>6155.5</v>
      </c>
      <c r="W489">
        <f t="shared" si="30"/>
        <v>1873.4099999999999</v>
      </c>
      <c r="X489">
        <f t="shared" si="31"/>
        <v>30.434733165461779</v>
      </c>
      <c r="Y489">
        <f t="shared" si="32"/>
        <v>-111</v>
      </c>
      <c r="Z489" t="str" cm="1">
        <f t="array" ref="Z489">_xlfn.IFS(Y489&lt;0, "Invalid Date", ISBLANK(G489), "Missing Region", TRUE, "Clean")</f>
        <v>Invalid Date</v>
      </c>
    </row>
    <row r="490" spans="1:26">
      <c r="A490" t="s">
        <v>1100</v>
      </c>
      <c r="B490" s="4">
        <v>45579</v>
      </c>
      <c r="C490" s="6">
        <v>45585</v>
      </c>
      <c r="D490" t="s">
        <v>2429</v>
      </c>
      <c r="E490" t="s">
        <v>80</v>
      </c>
      <c r="F490" t="s">
        <v>35</v>
      </c>
      <c r="G490" t="s">
        <v>24</v>
      </c>
      <c r="H490" t="s">
        <v>25</v>
      </c>
      <c r="I490" t="s">
        <v>26</v>
      </c>
      <c r="J490" t="s">
        <v>39</v>
      </c>
      <c r="K490" t="s">
        <v>40</v>
      </c>
      <c r="L490" t="s">
        <v>1101</v>
      </c>
      <c r="M490" t="s">
        <v>42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31</v>
      </c>
      <c r="U490" t="s">
        <v>32</v>
      </c>
      <c r="V490">
        <f t="shared" si="29"/>
        <v>8666.56</v>
      </c>
      <c r="W490">
        <f t="shared" si="30"/>
        <v>2699.12</v>
      </c>
      <c r="X490">
        <f t="shared" si="31"/>
        <v>31.144075619392243</v>
      </c>
      <c r="Y490">
        <f t="shared" si="32"/>
        <v>6</v>
      </c>
      <c r="Z490" t="str" cm="1">
        <f t="array" ref="Z490">_xlfn.IFS(Y490&lt;0, "Invalid Date", ISBLANK(G490), "Missing Region", TRUE, "Clean")</f>
        <v>Clean</v>
      </c>
    </row>
    <row r="491" spans="1:26">
      <c r="A491" t="s">
        <v>1102</v>
      </c>
      <c r="B491" s="4">
        <v>45475</v>
      </c>
      <c r="C491" s="6">
        <v>45628</v>
      </c>
      <c r="D491" t="s">
        <v>2430</v>
      </c>
      <c r="E491" t="s">
        <v>49</v>
      </c>
      <c r="F491" t="s">
        <v>85</v>
      </c>
      <c r="G491" t="s">
        <v>36</v>
      </c>
      <c r="H491" t="s">
        <v>88</v>
      </c>
      <c r="I491" t="s">
        <v>89</v>
      </c>
      <c r="J491" t="s">
        <v>68</v>
      </c>
      <c r="K491" t="s">
        <v>69</v>
      </c>
      <c r="L491" t="s">
        <v>1103</v>
      </c>
      <c r="M491" t="s">
        <v>30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31</v>
      </c>
      <c r="U491" t="s">
        <v>32</v>
      </c>
      <c r="V491">
        <f t="shared" si="29"/>
        <v>361.75200000000001</v>
      </c>
      <c r="W491">
        <f t="shared" si="30"/>
        <v>99.222000000000037</v>
      </c>
      <c r="X491">
        <f t="shared" si="31"/>
        <v>27.428182843495001</v>
      </c>
      <c r="Y491">
        <f t="shared" si="32"/>
        <v>153</v>
      </c>
      <c r="Z491" t="str" cm="1">
        <f t="array" ref="Z491">_xlfn.IFS(Y491&lt;0, "Invalid Date", ISBLANK(G491), "Missing Region", TRUE, "Clean")</f>
        <v>Clean</v>
      </c>
    </row>
    <row r="492" spans="1:26">
      <c r="A492" t="s">
        <v>1104</v>
      </c>
      <c r="B492" s="4">
        <v>45551</v>
      </c>
      <c r="C492" s="6">
        <v>45554</v>
      </c>
      <c r="D492" t="s">
        <v>2431</v>
      </c>
      <c r="E492" t="s">
        <v>80</v>
      </c>
      <c r="F492" t="s">
        <v>23</v>
      </c>
      <c r="G492" t="s">
        <v>58</v>
      </c>
      <c r="H492" t="s">
        <v>25</v>
      </c>
      <c r="I492" t="s">
        <v>96</v>
      </c>
      <c r="J492" t="s">
        <v>27</v>
      </c>
      <c r="K492" t="s">
        <v>130</v>
      </c>
      <c r="L492" t="s">
        <v>1105</v>
      </c>
      <c r="M492" t="s">
        <v>47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31</v>
      </c>
      <c r="U492" t="s">
        <v>32</v>
      </c>
      <c r="V492">
        <f t="shared" si="29"/>
        <v>2418.1990000000001</v>
      </c>
      <c r="W492">
        <f t="shared" si="30"/>
        <v>804.37900000000013</v>
      </c>
      <c r="X492">
        <f t="shared" si="31"/>
        <v>33.263556886757463</v>
      </c>
      <c r="Y492">
        <f t="shared" si="32"/>
        <v>3</v>
      </c>
      <c r="Z492" t="str" cm="1">
        <f t="array" ref="Z492">_xlfn.IFS(Y492&lt;0, "Invalid Date", ISBLANK(G492), "Missing Region", TRUE, "Clean")</f>
        <v>Clean</v>
      </c>
    </row>
    <row r="493" spans="1:26">
      <c r="A493" t="s">
        <v>1106</v>
      </c>
      <c r="B493" s="4">
        <v>45776</v>
      </c>
      <c r="C493" s="6">
        <v>45777</v>
      </c>
      <c r="D493" t="s">
        <v>2432</v>
      </c>
      <c r="E493" t="s">
        <v>34</v>
      </c>
      <c r="F493" t="s">
        <v>81</v>
      </c>
      <c r="G493" t="s">
        <v>50</v>
      </c>
      <c r="H493" t="s">
        <v>155</v>
      </c>
      <c r="I493" t="s">
        <v>156</v>
      </c>
      <c r="J493" t="s">
        <v>68</v>
      </c>
      <c r="K493" t="s">
        <v>69</v>
      </c>
      <c r="L493" t="s">
        <v>1107</v>
      </c>
      <c r="M493" t="s">
        <v>55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31</v>
      </c>
      <c r="U493" t="s">
        <v>32</v>
      </c>
      <c r="V493">
        <f t="shared" si="29"/>
        <v>1941.0560000000003</v>
      </c>
      <c r="W493">
        <f t="shared" si="30"/>
        <v>733.63600000000019</v>
      </c>
      <c r="X493">
        <f t="shared" si="31"/>
        <v>37.795715321969077</v>
      </c>
      <c r="Y493">
        <f t="shared" si="32"/>
        <v>1</v>
      </c>
      <c r="Z493" t="str" cm="1">
        <f t="array" ref="Z493">_xlfn.IFS(Y493&lt;0, "Invalid Date", ISBLANK(G493), "Missing Region", TRUE, "Clean")</f>
        <v>Clean</v>
      </c>
    </row>
    <row r="494" spans="1:26">
      <c r="A494" t="s">
        <v>1108</v>
      </c>
      <c r="B494" s="4">
        <v>45836</v>
      </c>
      <c r="C494" s="6">
        <v>45840</v>
      </c>
      <c r="D494" t="s">
        <v>2433</v>
      </c>
      <c r="E494" t="s">
        <v>57</v>
      </c>
      <c r="F494" t="s">
        <v>81</v>
      </c>
      <c r="G494" t="s">
        <v>50</v>
      </c>
      <c r="H494" t="s">
        <v>76</v>
      </c>
      <c r="I494" t="s">
        <v>77</v>
      </c>
      <c r="J494" t="s">
        <v>27</v>
      </c>
      <c r="K494" t="s">
        <v>108</v>
      </c>
      <c r="L494" t="s">
        <v>1109</v>
      </c>
      <c r="M494" t="s">
        <v>30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31</v>
      </c>
      <c r="U494" t="s">
        <v>32</v>
      </c>
      <c r="V494">
        <f t="shared" si="29"/>
        <v>4088.16</v>
      </c>
      <c r="W494">
        <f t="shared" si="30"/>
        <v>882.48</v>
      </c>
      <c r="X494">
        <f t="shared" si="31"/>
        <v>21.586239286133615</v>
      </c>
      <c r="Y494">
        <f t="shared" si="32"/>
        <v>4</v>
      </c>
      <c r="Z494" t="str" cm="1">
        <f t="array" ref="Z494">_xlfn.IFS(Y494&lt;0, "Invalid Date", ISBLANK(G494), "Missing Region", TRUE, "Clean")</f>
        <v>Clean</v>
      </c>
    </row>
    <row r="495" spans="1:26">
      <c r="A495" t="s">
        <v>1110</v>
      </c>
      <c r="B495" s="4">
        <v>45701</v>
      </c>
      <c r="C495" s="6">
        <v>45701</v>
      </c>
      <c r="D495" t="s">
        <v>2434</v>
      </c>
      <c r="E495" t="s">
        <v>212</v>
      </c>
      <c r="F495" t="s">
        <v>81</v>
      </c>
      <c r="G495" t="s">
        <v>36</v>
      </c>
      <c r="H495" t="s">
        <v>37</v>
      </c>
      <c r="I495" t="s">
        <v>38</v>
      </c>
      <c r="J495" t="s">
        <v>27</v>
      </c>
      <c r="K495" t="s">
        <v>28</v>
      </c>
      <c r="L495" t="s">
        <v>1111</v>
      </c>
      <c r="M495" t="s">
        <v>30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31</v>
      </c>
      <c r="U495" t="s">
        <v>1112</v>
      </c>
      <c r="V495">
        <f t="shared" si="29"/>
        <v>15273.054999999997</v>
      </c>
      <c r="W495">
        <f t="shared" si="30"/>
        <v>4184.2949999999964</v>
      </c>
      <c r="X495">
        <f t="shared" si="31"/>
        <v>27.396581757873573</v>
      </c>
      <c r="Y495">
        <f t="shared" si="32"/>
        <v>0</v>
      </c>
      <c r="Z495" t="str" cm="1">
        <f t="array" ref="Z495">_xlfn.IFS(Y495&lt;0, "Invalid Date", ISBLANK(G495), "Missing Region", TRUE, "Clean")</f>
        <v>Clean</v>
      </c>
    </row>
    <row r="496" spans="1:26">
      <c r="A496" t="s">
        <v>1113</v>
      </c>
      <c r="B496" s="4">
        <v>45610</v>
      </c>
      <c r="C496" s="6">
        <v>45618</v>
      </c>
      <c r="D496" t="s">
        <v>2435</v>
      </c>
      <c r="E496" t="s">
        <v>44</v>
      </c>
      <c r="F496" t="s">
        <v>23</v>
      </c>
      <c r="G496" t="s">
        <v>58</v>
      </c>
      <c r="H496" t="s">
        <v>66</v>
      </c>
      <c r="I496" t="s">
        <v>67</v>
      </c>
      <c r="J496" t="s">
        <v>68</v>
      </c>
      <c r="K496" t="s">
        <v>144</v>
      </c>
      <c r="L496" t="s">
        <v>1114</v>
      </c>
      <c r="M496" t="s">
        <v>55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132</v>
      </c>
      <c r="U496" t="s">
        <v>63</v>
      </c>
      <c r="V496">
        <f t="shared" si="29"/>
        <v>2276.9951999999998</v>
      </c>
      <c r="W496">
        <f t="shared" si="30"/>
        <v>707.61519999999973</v>
      </c>
      <c r="X496">
        <f t="shared" si="31"/>
        <v>31.076710218800628</v>
      </c>
      <c r="Y496">
        <f t="shared" si="32"/>
        <v>8</v>
      </c>
      <c r="Z496" t="str" cm="1">
        <f t="array" ref="Z496">_xlfn.IFS(Y496&lt;0, "Invalid Date", ISBLANK(G496), "Missing Region", TRUE, "Clean")</f>
        <v>Clean</v>
      </c>
    </row>
    <row r="497" spans="1:26">
      <c r="A497" t="s">
        <v>1115</v>
      </c>
      <c r="B497" s="4">
        <v>45421</v>
      </c>
      <c r="C497" s="6">
        <v>45427</v>
      </c>
      <c r="D497" t="s">
        <v>2436</v>
      </c>
      <c r="E497" t="s">
        <v>34</v>
      </c>
      <c r="F497" t="s">
        <v>35</v>
      </c>
      <c r="G497" t="s">
        <v>36</v>
      </c>
      <c r="H497" t="s">
        <v>140</v>
      </c>
      <c r="I497" t="s">
        <v>141</v>
      </c>
      <c r="J497" t="s">
        <v>68</v>
      </c>
      <c r="K497" t="s">
        <v>144</v>
      </c>
      <c r="L497" t="s">
        <v>1116</v>
      </c>
      <c r="M497" t="s">
        <v>30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91</v>
      </c>
      <c r="U497" t="s">
        <v>92</v>
      </c>
      <c r="V497">
        <f t="shared" si="29"/>
        <v>3784.7239999999997</v>
      </c>
      <c r="W497">
        <f t="shared" si="30"/>
        <v>1365.4839999999999</v>
      </c>
      <c r="X497">
        <f t="shared" si="31"/>
        <v>36.078826355633858</v>
      </c>
      <c r="Y497">
        <f t="shared" si="32"/>
        <v>6</v>
      </c>
      <c r="Z497" t="str" cm="1">
        <f t="array" ref="Z497">_xlfn.IFS(Y497&lt;0, "Invalid Date", ISBLANK(G497), "Missing Region", TRUE, "Clean")</f>
        <v>Clean</v>
      </c>
    </row>
    <row r="498" spans="1:26">
      <c r="A498" t="s">
        <v>1117</v>
      </c>
      <c r="B498" s="4">
        <v>45754</v>
      </c>
      <c r="C498" s="6">
        <v>45815</v>
      </c>
      <c r="D498" t="s">
        <v>2437</v>
      </c>
      <c r="E498" t="s">
        <v>212</v>
      </c>
      <c r="F498" t="s">
        <v>35</v>
      </c>
      <c r="G498" t="s">
        <v>36</v>
      </c>
      <c r="H498" t="s">
        <v>186</v>
      </c>
      <c r="I498" t="s">
        <v>187</v>
      </c>
      <c r="J498" t="s">
        <v>39</v>
      </c>
      <c r="K498" t="s">
        <v>61</v>
      </c>
      <c r="L498" t="s">
        <v>1118</v>
      </c>
      <c r="M498" t="s">
        <v>30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31</v>
      </c>
      <c r="U498" t="s">
        <v>32</v>
      </c>
      <c r="V498">
        <f t="shared" si="29"/>
        <v>6635.5560000000005</v>
      </c>
      <c r="W498">
        <f t="shared" si="30"/>
        <v>2982.6460000000006</v>
      </c>
      <c r="X498">
        <f t="shared" si="31"/>
        <v>44.94945110854313</v>
      </c>
      <c r="Y498">
        <f t="shared" si="32"/>
        <v>61</v>
      </c>
      <c r="Z498" t="str" cm="1">
        <f t="array" ref="Z498">_xlfn.IFS(Y498&lt;0, "Invalid Date", ISBLANK(G498), "Missing Region", TRUE, "Clean")</f>
        <v>Clean</v>
      </c>
    </row>
    <row r="499" spans="1:26">
      <c r="A499" t="s">
        <v>1119</v>
      </c>
      <c r="B499" s="4">
        <v>45533</v>
      </c>
      <c r="C499" s="6">
        <v>45533</v>
      </c>
      <c r="D499" t="s">
        <v>2438</v>
      </c>
      <c r="E499" t="s">
        <v>114</v>
      </c>
      <c r="F499" t="s">
        <v>35</v>
      </c>
      <c r="G499" t="s">
        <v>24</v>
      </c>
      <c r="H499" t="s">
        <v>117</v>
      </c>
      <c r="I499" t="s">
        <v>118</v>
      </c>
      <c r="J499" t="s">
        <v>68</v>
      </c>
      <c r="K499" t="s">
        <v>69</v>
      </c>
      <c r="L499" t="s">
        <v>1120</v>
      </c>
      <c r="M499" t="s">
        <v>30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31</v>
      </c>
      <c r="U499" t="s">
        <v>63</v>
      </c>
      <c r="V499">
        <f t="shared" si="29"/>
        <v>2485.5040000000004</v>
      </c>
      <c r="W499">
        <f t="shared" si="30"/>
        <v>457.0740000000003</v>
      </c>
      <c r="X499">
        <f t="shared" si="31"/>
        <v>18.389590199814617</v>
      </c>
      <c r="Y499">
        <f t="shared" si="32"/>
        <v>0</v>
      </c>
      <c r="Z499" t="str" cm="1">
        <f t="array" ref="Z499">_xlfn.IFS(Y499&lt;0, "Invalid Date", ISBLANK(G499), "Missing Region", TRUE, "Clean")</f>
        <v>Clean</v>
      </c>
    </row>
    <row r="500" spans="1:26">
      <c r="A500" t="s">
        <v>1121</v>
      </c>
      <c r="B500" s="4">
        <v>45847</v>
      </c>
      <c r="C500" s="6">
        <v>45939</v>
      </c>
      <c r="D500" t="s">
        <v>2439</v>
      </c>
      <c r="E500" t="s">
        <v>22</v>
      </c>
      <c r="F500" t="s">
        <v>23</v>
      </c>
      <c r="G500" t="s">
        <v>24</v>
      </c>
      <c r="H500" t="s">
        <v>106</v>
      </c>
      <c r="I500" t="s">
        <v>107</v>
      </c>
      <c r="J500" t="s">
        <v>39</v>
      </c>
      <c r="K500" t="s">
        <v>61</v>
      </c>
      <c r="L500" t="s">
        <v>1122</v>
      </c>
      <c r="M500" t="s">
        <v>42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91</v>
      </c>
      <c r="U500" t="s">
        <v>1123</v>
      </c>
      <c r="V500">
        <f t="shared" si="29"/>
        <v>850.34500000000003</v>
      </c>
      <c r="W500">
        <f t="shared" si="30"/>
        <v>249.36500000000001</v>
      </c>
      <c r="X500">
        <f t="shared" si="31"/>
        <v>29.325156260106194</v>
      </c>
      <c r="Y500">
        <f t="shared" si="32"/>
        <v>92</v>
      </c>
      <c r="Z500" t="str" cm="1">
        <f t="array" ref="Z500">_xlfn.IFS(Y500&lt;0, "Invalid Date", ISBLANK(G500), "Missing Region", TRUE, "Clean")</f>
        <v>Clean</v>
      </c>
    </row>
    <row r="501" spans="1:26">
      <c r="A501" t="s">
        <v>1124</v>
      </c>
      <c r="B501" s="4">
        <v>45648</v>
      </c>
      <c r="C501" s="6">
        <v>45652</v>
      </c>
      <c r="D501" t="s">
        <v>2440</v>
      </c>
      <c r="E501" t="s">
        <v>103</v>
      </c>
      <c r="F501" t="s">
        <v>85</v>
      </c>
      <c r="G501" t="s">
        <v>24</v>
      </c>
      <c r="H501" t="s">
        <v>117</v>
      </c>
      <c r="I501" t="s">
        <v>118</v>
      </c>
      <c r="J501" t="s">
        <v>39</v>
      </c>
      <c r="K501" t="s">
        <v>61</v>
      </c>
      <c r="L501" t="s">
        <v>1125</v>
      </c>
      <c r="M501" t="s">
        <v>55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31</v>
      </c>
      <c r="U501" t="s">
        <v>63</v>
      </c>
      <c r="V501">
        <f t="shared" si="29"/>
        <v>9997.8299999999981</v>
      </c>
      <c r="W501">
        <f t="shared" si="30"/>
        <v>3938.7599999999984</v>
      </c>
      <c r="X501">
        <f t="shared" si="31"/>
        <v>39.396148964325249</v>
      </c>
      <c r="Y501">
        <f t="shared" si="32"/>
        <v>4</v>
      </c>
      <c r="Z501" t="str" cm="1">
        <f t="array" ref="Z501">_xlfn.IFS(Y501&lt;0, "Invalid Date", ISBLANK(G501), "Missing Region", TRUE, "Clean")</f>
        <v>Clean</v>
      </c>
    </row>
    <row r="502" spans="1:26">
      <c r="A502" t="s">
        <v>1126</v>
      </c>
      <c r="B502" s="4">
        <v>45429</v>
      </c>
      <c r="C502" s="6">
        <v>45434</v>
      </c>
      <c r="D502" t="s">
        <v>2180</v>
      </c>
      <c r="E502" t="s">
        <v>114</v>
      </c>
      <c r="F502" t="s">
        <v>23</v>
      </c>
      <c r="G502" t="s">
        <v>50</v>
      </c>
      <c r="H502" t="s">
        <v>155</v>
      </c>
      <c r="I502" t="s">
        <v>156</v>
      </c>
      <c r="J502" t="s">
        <v>68</v>
      </c>
      <c r="K502" t="s">
        <v>144</v>
      </c>
      <c r="L502" t="s">
        <v>1127</v>
      </c>
      <c r="M502" t="s">
        <v>42</v>
      </c>
      <c r="N502">
        <v>9</v>
      </c>
      <c r="O502">
        <v>3795.99</v>
      </c>
      <c r="P502" t="s">
        <v>555</v>
      </c>
      <c r="Q502">
        <v>34163.910000000003</v>
      </c>
      <c r="R502">
        <v>28577.15</v>
      </c>
      <c r="S502">
        <v>5586.76</v>
      </c>
      <c r="T502" t="s">
        <v>31</v>
      </c>
      <c r="U502" t="s">
        <v>32</v>
      </c>
      <c r="V502">
        <f t="shared" si="29"/>
        <v>5124.5865000000003</v>
      </c>
      <c r="W502">
        <f t="shared" si="30"/>
        <v>-23452.5635</v>
      </c>
      <c r="X502">
        <f t="shared" si="31"/>
        <v>-457.64791949555342</v>
      </c>
      <c r="Y502">
        <f t="shared" si="32"/>
        <v>5</v>
      </c>
      <c r="Z502" t="str" cm="1">
        <f t="array" ref="Z502">_xlfn.IFS(Y502&lt;0, "Invalid Date", ISBLANK(G502), "Missing Region", TRUE, "Clean")</f>
        <v>Clean</v>
      </c>
    </row>
    <row r="503" spans="1:26">
      <c r="A503" t="s">
        <v>1128</v>
      </c>
      <c r="B503" s="4">
        <v>45604</v>
      </c>
      <c r="C503" s="6">
        <v>45521</v>
      </c>
      <c r="D503" t="s">
        <v>2441</v>
      </c>
      <c r="E503" t="s">
        <v>72</v>
      </c>
      <c r="F503" t="s">
        <v>23</v>
      </c>
      <c r="G503" t="s">
        <v>36</v>
      </c>
      <c r="H503" t="s">
        <v>186</v>
      </c>
      <c r="I503" t="s">
        <v>187</v>
      </c>
      <c r="J503" t="s">
        <v>27</v>
      </c>
      <c r="K503" t="s">
        <v>45</v>
      </c>
      <c r="L503" t="s">
        <v>1129</v>
      </c>
      <c r="M503" t="s">
        <v>30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31</v>
      </c>
      <c r="U503" t="s">
        <v>32</v>
      </c>
      <c r="V503">
        <f t="shared" si="29"/>
        <v>17837.453999999998</v>
      </c>
      <c r="W503">
        <f t="shared" si="30"/>
        <v>4210.4339999999975</v>
      </c>
      <c r="X503">
        <f t="shared" si="31"/>
        <v>23.604456106796395</v>
      </c>
      <c r="Y503">
        <f t="shared" si="32"/>
        <v>-83</v>
      </c>
      <c r="Z503" t="str" cm="1">
        <f t="array" ref="Z503">_xlfn.IFS(Y503&lt;0, "Invalid Date", ISBLANK(G503), "Missing Region", TRUE, "Clean")</f>
        <v>Invalid Date</v>
      </c>
    </row>
    <row r="504" spans="1:26">
      <c r="A504" t="s">
        <v>1130</v>
      </c>
      <c r="B504" s="4">
        <v>45383</v>
      </c>
      <c r="C504" s="6">
        <v>45539</v>
      </c>
      <c r="D504" t="s">
        <v>2442</v>
      </c>
      <c r="E504" t="s">
        <v>100</v>
      </c>
      <c r="F504" t="s">
        <v>35</v>
      </c>
      <c r="G504" t="s">
        <v>36</v>
      </c>
      <c r="H504" t="s">
        <v>37</v>
      </c>
      <c r="I504" t="s">
        <v>38</v>
      </c>
      <c r="J504" t="s">
        <v>68</v>
      </c>
      <c r="K504" t="s">
        <v>73</v>
      </c>
      <c r="L504" t="s">
        <v>1131</v>
      </c>
      <c r="M504" t="s">
        <v>30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31</v>
      </c>
      <c r="U504" t="s">
        <v>32</v>
      </c>
      <c r="V504">
        <f t="shared" si="29"/>
        <v>4465.4220000000005</v>
      </c>
      <c r="W504">
        <f t="shared" si="30"/>
        <v>1088.3220000000006</v>
      </c>
      <c r="X504">
        <f t="shared" si="31"/>
        <v>24.372209390288319</v>
      </c>
      <c r="Y504">
        <f t="shared" si="32"/>
        <v>156</v>
      </c>
      <c r="Z504" t="str" cm="1">
        <f t="array" ref="Z504">_xlfn.IFS(Y504&lt;0, "Invalid Date", ISBLANK(G504), "Missing Region", TRUE, "Clean")</f>
        <v>Clean</v>
      </c>
    </row>
    <row r="505" spans="1:26">
      <c r="A505" t="s">
        <v>1132</v>
      </c>
      <c r="B505" s="4">
        <v>45563</v>
      </c>
      <c r="C505" s="6">
        <v>45422</v>
      </c>
      <c r="D505" t="s">
        <v>2443</v>
      </c>
      <c r="E505" t="s">
        <v>111</v>
      </c>
      <c r="F505" t="s">
        <v>23</v>
      </c>
      <c r="G505" t="s">
        <v>50</v>
      </c>
      <c r="H505" t="s">
        <v>200</v>
      </c>
      <c r="I505" t="s">
        <v>201</v>
      </c>
      <c r="J505" t="s">
        <v>68</v>
      </c>
      <c r="K505" t="s">
        <v>144</v>
      </c>
      <c r="L505" t="s">
        <v>1133</v>
      </c>
      <c r="M505" t="s">
        <v>55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31</v>
      </c>
      <c r="U505" t="s">
        <v>32</v>
      </c>
      <c r="V505">
        <f t="shared" si="29"/>
        <v>10594.08</v>
      </c>
      <c r="W505">
        <f t="shared" si="30"/>
        <v>3433.7699999999995</v>
      </c>
      <c r="X505">
        <f t="shared" si="31"/>
        <v>32.412158488514336</v>
      </c>
      <c r="Y505">
        <f t="shared" si="32"/>
        <v>-141</v>
      </c>
      <c r="Z505" t="str" cm="1">
        <f t="array" ref="Z505">_xlfn.IFS(Y505&lt;0, "Invalid Date", ISBLANK(G505), "Missing Region", TRUE, "Clean")</f>
        <v>Invalid Date</v>
      </c>
    </row>
    <row r="506" spans="1:26">
      <c r="A506" t="s">
        <v>1134</v>
      </c>
      <c r="B506" s="4">
        <v>45993</v>
      </c>
      <c r="C506" s="6">
        <v>45705</v>
      </c>
      <c r="D506" t="s">
        <v>2444</v>
      </c>
      <c r="E506" t="s">
        <v>49</v>
      </c>
      <c r="F506" t="s">
        <v>81</v>
      </c>
      <c r="G506" t="s">
        <v>58</v>
      </c>
      <c r="H506" t="s">
        <v>151</v>
      </c>
      <c r="I506" t="s">
        <v>152</v>
      </c>
      <c r="J506" t="s">
        <v>27</v>
      </c>
      <c r="K506" t="s">
        <v>45</v>
      </c>
      <c r="L506" t="s">
        <v>1135</v>
      </c>
      <c r="M506" t="s">
        <v>55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31</v>
      </c>
      <c r="U506" t="s">
        <v>32</v>
      </c>
      <c r="V506">
        <f t="shared" si="29"/>
        <v>17312.48</v>
      </c>
      <c r="W506">
        <f t="shared" si="30"/>
        <v>2888.26</v>
      </c>
      <c r="X506">
        <f t="shared" si="31"/>
        <v>16.683109525613894</v>
      </c>
      <c r="Y506">
        <f t="shared" si="32"/>
        <v>-288</v>
      </c>
      <c r="Z506" t="str" cm="1">
        <f t="array" ref="Z506">_xlfn.IFS(Y506&lt;0, "Invalid Date", ISBLANK(G506), "Missing Region", TRUE, "Clean")</f>
        <v>Invalid Date</v>
      </c>
    </row>
    <row r="507" spans="1:26">
      <c r="A507" t="s">
        <v>1136</v>
      </c>
      <c r="B507" s="4">
        <v>45546</v>
      </c>
      <c r="C507" s="6">
        <v>45610</v>
      </c>
      <c r="D507" t="s">
        <v>2445</v>
      </c>
      <c r="E507" t="s">
        <v>72</v>
      </c>
      <c r="F507" t="s">
        <v>81</v>
      </c>
      <c r="G507" t="s">
        <v>58</v>
      </c>
      <c r="H507" t="s">
        <v>66</v>
      </c>
      <c r="I507" t="s">
        <v>67</v>
      </c>
      <c r="J507" t="s">
        <v>27</v>
      </c>
      <c r="K507" t="s">
        <v>45</v>
      </c>
      <c r="L507" t="s">
        <v>1137</v>
      </c>
      <c r="M507" t="s">
        <v>47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31</v>
      </c>
      <c r="U507" t="s">
        <v>63</v>
      </c>
      <c r="V507">
        <f t="shared" si="29"/>
        <v>17555.688000000002</v>
      </c>
      <c r="W507">
        <f t="shared" si="30"/>
        <v>4262.4880000000012</v>
      </c>
      <c r="X507">
        <f t="shared" si="31"/>
        <v>24.279811762432786</v>
      </c>
      <c r="Y507">
        <f t="shared" si="32"/>
        <v>64</v>
      </c>
      <c r="Z507" t="str" cm="1">
        <f t="array" ref="Z507">_xlfn.IFS(Y507&lt;0, "Invalid Date", ISBLANK(G507), "Missing Region", TRUE, "Clean")</f>
        <v>Clean</v>
      </c>
    </row>
    <row r="508" spans="1:26">
      <c r="A508" t="s">
        <v>1138</v>
      </c>
      <c r="B508" s="4">
        <v>45641</v>
      </c>
      <c r="C508" s="6">
        <v>45641</v>
      </c>
      <c r="D508" t="s">
        <v>2446</v>
      </c>
      <c r="E508" t="s">
        <v>111</v>
      </c>
      <c r="F508" t="s">
        <v>35</v>
      </c>
      <c r="G508" t="s">
        <v>24</v>
      </c>
      <c r="H508" t="s">
        <v>106</v>
      </c>
      <c r="I508" t="s">
        <v>107</v>
      </c>
      <c r="J508" t="s">
        <v>39</v>
      </c>
      <c r="K508" t="s">
        <v>53</v>
      </c>
      <c r="L508" t="s">
        <v>1139</v>
      </c>
      <c r="M508" t="s">
        <v>47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91</v>
      </c>
      <c r="U508" t="s">
        <v>92</v>
      </c>
      <c r="V508">
        <f t="shared" si="29"/>
        <v>1205.6399999999999</v>
      </c>
      <c r="W508">
        <f t="shared" si="30"/>
        <v>363.56999999999982</v>
      </c>
      <c r="X508">
        <f t="shared" si="31"/>
        <v>30.155767890912699</v>
      </c>
      <c r="Y508">
        <f t="shared" si="32"/>
        <v>0</v>
      </c>
      <c r="Z508" t="str" cm="1">
        <f t="array" ref="Z508">_xlfn.IFS(Y508&lt;0, "Invalid Date", ISBLANK(G508), "Missing Region", TRUE, "Clean")</f>
        <v>Clean</v>
      </c>
    </row>
    <row r="509" spans="1:26">
      <c r="A509" t="s">
        <v>1140</v>
      </c>
      <c r="B509" s="4">
        <v>45762</v>
      </c>
      <c r="C509" s="6">
        <v>45769</v>
      </c>
      <c r="D509" t="s">
        <v>2447</v>
      </c>
      <c r="E509" t="s">
        <v>44</v>
      </c>
      <c r="F509" t="s">
        <v>35</v>
      </c>
      <c r="G509" t="s">
        <v>24</v>
      </c>
      <c r="H509" t="s">
        <v>192</v>
      </c>
      <c r="I509" t="s">
        <v>193</v>
      </c>
      <c r="J509" t="s">
        <v>27</v>
      </c>
      <c r="K509" t="s">
        <v>130</v>
      </c>
      <c r="L509" t="s">
        <v>1141</v>
      </c>
      <c r="M509" t="s">
        <v>42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31</v>
      </c>
      <c r="U509" t="s">
        <v>32</v>
      </c>
      <c r="V509">
        <f t="shared" si="29"/>
        <v>8971.26</v>
      </c>
      <c r="W509">
        <f t="shared" si="30"/>
        <v>2156.91</v>
      </c>
      <c r="X509">
        <f t="shared" si="31"/>
        <v>24.042442198754689</v>
      </c>
      <c r="Y509">
        <f t="shared" si="32"/>
        <v>7</v>
      </c>
      <c r="Z509" t="str" cm="1">
        <f t="array" ref="Z509">_xlfn.IFS(Y509&lt;0, "Invalid Date", ISBLANK(G509), "Missing Region", TRUE, "Clean")</f>
        <v>Clean</v>
      </c>
    </row>
    <row r="510" spans="1:26">
      <c r="A510" t="s">
        <v>1142</v>
      </c>
      <c r="B510" s="4">
        <v>45382</v>
      </c>
      <c r="C510" s="6">
        <v>45477</v>
      </c>
      <c r="D510" t="s">
        <v>2448</v>
      </c>
      <c r="E510" t="s">
        <v>44</v>
      </c>
      <c r="F510" t="s">
        <v>35</v>
      </c>
      <c r="G510" t="s">
        <v>24</v>
      </c>
      <c r="H510" t="s">
        <v>192</v>
      </c>
      <c r="I510" t="s">
        <v>193</v>
      </c>
      <c r="J510" t="s">
        <v>68</v>
      </c>
      <c r="K510" t="s">
        <v>219</v>
      </c>
      <c r="L510" t="s">
        <v>1143</v>
      </c>
      <c r="M510" t="s">
        <v>30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31</v>
      </c>
      <c r="U510" t="s">
        <v>32</v>
      </c>
      <c r="V510">
        <f t="shared" si="29"/>
        <v>7324</v>
      </c>
      <c r="W510">
        <f t="shared" si="30"/>
        <v>3144.37</v>
      </c>
      <c r="X510">
        <f t="shared" si="31"/>
        <v>42.932413981430912</v>
      </c>
      <c r="Y510">
        <f t="shared" si="32"/>
        <v>95</v>
      </c>
      <c r="Z510" t="str" cm="1">
        <f t="array" ref="Z510">_xlfn.IFS(Y510&lt;0, "Invalid Date", ISBLANK(G510), "Missing Region", TRUE, "Clean")</f>
        <v>Clean</v>
      </c>
    </row>
    <row r="511" spans="1:26">
      <c r="A511" t="s">
        <v>1144</v>
      </c>
      <c r="B511" s="4">
        <v>45996</v>
      </c>
      <c r="C511" s="6">
        <v>45791</v>
      </c>
      <c r="D511" t="s">
        <v>2449</v>
      </c>
      <c r="E511" t="s">
        <v>72</v>
      </c>
      <c r="F511" t="s">
        <v>23</v>
      </c>
      <c r="G511" t="s">
        <v>58</v>
      </c>
      <c r="H511" t="s">
        <v>151</v>
      </c>
      <c r="I511" t="s">
        <v>152</v>
      </c>
      <c r="J511" t="s">
        <v>68</v>
      </c>
      <c r="K511" t="s">
        <v>219</v>
      </c>
      <c r="L511" t="s">
        <v>1145</v>
      </c>
      <c r="M511" t="s">
        <v>42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31</v>
      </c>
      <c r="U511" t="s">
        <v>32</v>
      </c>
      <c r="V511">
        <f t="shared" si="29"/>
        <v>23241.216</v>
      </c>
      <c r="W511">
        <f t="shared" si="30"/>
        <v>6020.3159999999989</v>
      </c>
      <c r="X511">
        <f t="shared" si="31"/>
        <v>25.903618812371949</v>
      </c>
      <c r="Y511">
        <f t="shared" si="32"/>
        <v>-205</v>
      </c>
      <c r="Z511" t="str" cm="1">
        <f t="array" ref="Z511">_xlfn.IFS(Y511&lt;0, "Invalid Date", ISBLANK(G511), "Missing Region", TRUE, "Clean")</f>
        <v>Invalid Date</v>
      </c>
    </row>
    <row r="512" spans="1:26">
      <c r="A512" t="s">
        <v>1146</v>
      </c>
      <c r="B512" s="4">
        <v>45583</v>
      </c>
      <c r="C512" s="6">
        <v>45586</v>
      </c>
      <c r="D512" t="s">
        <v>2450</v>
      </c>
      <c r="E512" t="s">
        <v>111</v>
      </c>
      <c r="F512" t="s">
        <v>23</v>
      </c>
      <c r="G512" t="s">
        <v>50</v>
      </c>
      <c r="H512" t="s">
        <v>147</v>
      </c>
      <c r="I512" t="s">
        <v>148</v>
      </c>
      <c r="J512" t="s">
        <v>27</v>
      </c>
      <c r="K512" t="s">
        <v>108</v>
      </c>
      <c r="L512" t="s">
        <v>1147</v>
      </c>
      <c r="M512" t="s">
        <v>30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31</v>
      </c>
      <c r="U512" t="s">
        <v>32</v>
      </c>
      <c r="V512">
        <f t="shared" si="29"/>
        <v>8477.02</v>
      </c>
      <c r="W512">
        <f t="shared" si="30"/>
        <v>1592.0600000000004</v>
      </c>
      <c r="X512">
        <f t="shared" si="31"/>
        <v>18.780892341884297</v>
      </c>
      <c r="Y512">
        <f t="shared" si="32"/>
        <v>3</v>
      </c>
      <c r="Z512" t="str" cm="1">
        <f t="array" ref="Z512">_xlfn.IFS(Y512&lt;0, "Invalid Date", ISBLANK(G512), "Missing Region", TRUE, "Clean")</f>
        <v>Clean</v>
      </c>
    </row>
    <row r="513" spans="1:26">
      <c r="A513" t="s">
        <v>1148</v>
      </c>
      <c r="B513" s="4">
        <v>45588</v>
      </c>
      <c r="C513" s="6">
        <v>45591</v>
      </c>
      <c r="D513" t="s">
        <v>2324</v>
      </c>
      <c r="E513" t="s">
        <v>114</v>
      </c>
      <c r="F513" t="s">
        <v>23</v>
      </c>
      <c r="G513" t="s">
        <v>58</v>
      </c>
      <c r="H513" t="s">
        <v>66</v>
      </c>
      <c r="I513" t="s">
        <v>67</v>
      </c>
      <c r="J513" t="s">
        <v>39</v>
      </c>
      <c r="K513" t="s">
        <v>134</v>
      </c>
      <c r="L513" t="s">
        <v>1149</v>
      </c>
      <c r="M513" t="s">
        <v>55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31</v>
      </c>
      <c r="U513" t="s">
        <v>32</v>
      </c>
      <c r="V513">
        <f t="shared" si="29"/>
        <v>3673.8225000000002</v>
      </c>
      <c r="W513">
        <f t="shared" si="30"/>
        <v>1585.6725000000001</v>
      </c>
      <c r="X513">
        <f t="shared" si="31"/>
        <v>43.161380278987352</v>
      </c>
      <c r="Y513">
        <f t="shared" si="32"/>
        <v>3</v>
      </c>
      <c r="Z513" t="str" cm="1">
        <f t="array" ref="Z513">_xlfn.IFS(Y513&lt;0, "Invalid Date", ISBLANK(G513), "Missing Region", TRUE, "Clean")</f>
        <v>Clean</v>
      </c>
    </row>
    <row r="514" spans="1:26">
      <c r="A514" t="s">
        <v>1150</v>
      </c>
      <c r="B514" s="4">
        <v>45718</v>
      </c>
      <c r="C514" s="6">
        <v>45719</v>
      </c>
      <c r="D514" t="s">
        <v>2451</v>
      </c>
      <c r="E514" t="s">
        <v>44</v>
      </c>
      <c r="F514" t="s">
        <v>81</v>
      </c>
      <c r="G514" t="s">
        <v>50</v>
      </c>
      <c r="H514" t="s">
        <v>155</v>
      </c>
      <c r="I514" t="s">
        <v>156</v>
      </c>
      <c r="J514" t="s">
        <v>27</v>
      </c>
      <c r="K514" t="s">
        <v>82</v>
      </c>
      <c r="L514" t="s">
        <v>1151</v>
      </c>
      <c r="M514" t="s">
        <v>30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31</v>
      </c>
      <c r="U514" t="s">
        <v>32</v>
      </c>
      <c r="V514">
        <f t="shared" si="29"/>
        <v>6047.1749999999993</v>
      </c>
      <c r="W514">
        <f t="shared" si="30"/>
        <v>2678.3849999999993</v>
      </c>
      <c r="X514">
        <f t="shared" si="31"/>
        <v>44.291508018206841</v>
      </c>
      <c r="Y514">
        <f t="shared" si="32"/>
        <v>1</v>
      </c>
      <c r="Z514" t="str" cm="1">
        <f t="array" ref="Z514">_xlfn.IFS(Y514&lt;0, "Invalid Date", ISBLANK(G514), "Missing Region", TRUE, "Clean")</f>
        <v>Clean</v>
      </c>
    </row>
    <row r="515" spans="1:26">
      <c r="A515" t="s">
        <v>1152</v>
      </c>
      <c r="B515" s="4">
        <v>45835</v>
      </c>
      <c r="C515" s="6">
        <v>45840</v>
      </c>
      <c r="D515" t="s">
        <v>2452</v>
      </c>
      <c r="E515" t="s">
        <v>111</v>
      </c>
      <c r="F515" t="s">
        <v>81</v>
      </c>
      <c r="G515" t="s">
        <v>50</v>
      </c>
      <c r="H515" t="s">
        <v>155</v>
      </c>
      <c r="I515" t="s">
        <v>156</v>
      </c>
      <c r="J515" t="s">
        <v>68</v>
      </c>
      <c r="K515" t="s">
        <v>69</v>
      </c>
      <c r="L515" t="s">
        <v>1153</v>
      </c>
      <c r="M515" t="s">
        <v>47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31</v>
      </c>
      <c r="U515" t="s">
        <v>32</v>
      </c>
      <c r="V515">
        <f t="shared" ref="V515:V578" si="33">N515*O515*(1- P515)</f>
        <v>5937.246000000001</v>
      </c>
      <c r="W515">
        <f t="shared" ref="W515:W578" si="34">V515-R515</f>
        <v>1848.786000000001</v>
      </c>
      <c r="X515">
        <f t="shared" ref="X515:X578" si="35">W515/V515*100</f>
        <v>31.138780505304997</v>
      </c>
      <c r="Y515">
        <f t="shared" si="32"/>
        <v>5</v>
      </c>
      <c r="Z515" t="str" cm="1">
        <f t="array" ref="Z515">_xlfn.IFS(Y515&lt;0, "Invalid Date", ISBLANK(G515), "Missing Region", TRUE, "Clean")</f>
        <v>Clean</v>
      </c>
    </row>
    <row r="516" spans="1:26">
      <c r="A516" t="s">
        <v>1154</v>
      </c>
      <c r="B516" s="4">
        <v>45614</v>
      </c>
      <c r="C516" s="6">
        <v>45618</v>
      </c>
      <c r="D516" t="s">
        <v>2453</v>
      </c>
      <c r="E516" t="s">
        <v>22</v>
      </c>
      <c r="F516" t="s">
        <v>85</v>
      </c>
      <c r="G516" t="s">
        <v>50</v>
      </c>
      <c r="H516" t="s">
        <v>155</v>
      </c>
      <c r="I516" t="s">
        <v>156</v>
      </c>
      <c r="J516" t="s">
        <v>68</v>
      </c>
      <c r="K516" t="s">
        <v>69</v>
      </c>
      <c r="L516" t="s">
        <v>1155</v>
      </c>
      <c r="M516" t="s">
        <v>55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31</v>
      </c>
      <c r="U516" t="s">
        <v>32</v>
      </c>
      <c r="V516">
        <f t="shared" si="33"/>
        <v>20913.876</v>
      </c>
      <c r="W516">
        <f t="shared" si="34"/>
        <v>9229.1959999999999</v>
      </c>
      <c r="X516">
        <f t="shared" si="35"/>
        <v>44.12953390371063</v>
      </c>
      <c r="Y516">
        <f t="shared" si="32"/>
        <v>4</v>
      </c>
      <c r="Z516" t="str" cm="1">
        <f t="array" ref="Z516">_xlfn.IFS(Y516&lt;0, "Invalid Date", ISBLANK(G516), "Missing Region", TRUE, "Clean")</f>
        <v>Clean</v>
      </c>
    </row>
    <row r="517" spans="1:26">
      <c r="A517" t="s">
        <v>1156</v>
      </c>
      <c r="B517" s="4">
        <v>45758</v>
      </c>
      <c r="C517" s="6">
        <v>45965</v>
      </c>
      <c r="D517" t="s">
        <v>2454</v>
      </c>
      <c r="E517" t="s">
        <v>103</v>
      </c>
      <c r="F517" t="s">
        <v>81</v>
      </c>
      <c r="G517" t="s">
        <v>24</v>
      </c>
      <c r="H517" t="s">
        <v>270</v>
      </c>
      <c r="I517" t="s">
        <v>271</v>
      </c>
      <c r="J517" t="s">
        <v>27</v>
      </c>
      <c r="K517" t="s">
        <v>28</v>
      </c>
      <c r="L517" t="s">
        <v>1157</v>
      </c>
      <c r="M517" t="s">
        <v>55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31</v>
      </c>
      <c r="U517" t="s">
        <v>32</v>
      </c>
      <c r="V517">
        <f t="shared" si="33"/>
        <v>4770.5843000000004</v>
      </c>
      <c r="W517">
        <f t="shared" si="34"/>
        <v>2687.1743000000006</v>
      </c>
      <c r="X517">
        <f t="shared" si="35"/>
        <v>56.327991101635092</v>
      </c>
      <c r="Y517">
        <f t="shared" si="32"/>
        <v>207</v>
      </c>
      <c r="Z517" t="str" cm="1">
        <f t="array" ref="Z517">_xlfn.IFS(Y517&lt;0, "Invalid Date", ISBLANK(G517), "Missing Region", TRUE, "Clean")</f>
        <v>Clean</v>
      </c>
    </row>
    <row r="518" spans="1:26">
      <c r="A518" t="s">
        <v>1158</v>
      </c>
      <c r="B518" s="4">
        <v>45563</v>
      </c>
      <c r="C518" s="6">
        <v>45392</v>
      </c>
      <c r="D518" t="s">
        <v>2455</v>
      </c>
      <c r="E518" t="s">
        <v>212</v>
      </c>
      <c r="F518" t="s">
        <v>85</v>
      </c>
      <c r="G518" t="s">
        <v>24</v>
      </c>
      <c r="H518" t="s">
        <v>270</v>
      </c>
      <c r="I518" t="s">
        <v>271</v>
      </c>
      <c r="J518" t="s">
        <v>68</v>
      </c>
      <c r="K518" t="s">
        <v>73</v>
      </c>
      <c r="L518" t="s">
        <v>1159</v>
      </c>
      <c r="M518" t="s">
        <v>55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132</v>
      </c>
      <c r="U518" t="s">
        <v>92</v>
      </c>
      <c r="V518">
        <f t="shared" si="33"/>
        <v>2233.1799999999998</v>
      </c>
      <c r="W518">
        <f t="shared" si="34"/>
        <v>647.3599999999999</v>
      </c>
      <c r="X518">
        <f t="shared" si="35"/>
        <v>28.988258895386842</v>
      </c>
      <c r="Y518">
        <f t="shared" si="32"/>
        <v>-171</v>
      </c>
      <c r="Z518" t="str" cm="1">
        <f t="array" ref="Z518">_xlfn.IFS(Y518&lt;0, "Invalid Date", ISBLANK(G518), "Missing Region", TRUE, "Clean")</f>
        <v>Invalid Date</v>
      </c>
    </row>
    <row r="519" spans="1:26">
      <c r="A519" t="s">
        <v>1160</v>
      </c>
      <c r="B519" s="4">
        <v>45802</v>
      </c>
      <c r="C519" s="6">
        <v>45804</v>
      </c>
      <c r="D519" t="s">
        <v>2456</v>
      </c>
      <c r="E519" t="s">
        <v>103</v>
      </c>
      <c r="F519" t="s">
        <v>23</v>
      </c>
      <c r="G519" t="s">
        <v>36</v>
      </c>
      <c r="H519" t="s">
        <v>37</v>
      </c>
      <c r="I519" t="s">
        <v>38</v>
      </c>
      <c r="J519" t="s">
        <v>39</v>
      </c>
      <c r="K519" t="s">
        <v>53</v>
      </c>
      <c r="L519" t="s">
        <v>1161</v>
      </c>
      <c r="M519" t="s">
        <v>30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91</v>
      </c>
      <c r="U519" t="s">
        <v>92</v>
      </c>
      <c r="V519">
        <f t="shared" si="33"/>
        <v>11890.368000000002</v>
      </c>
      <c r="W519">
        <f t="shared" si="34"/>
        <v>2655.8380000000016</v>
      </c>
      <c r="X519">
        <f t="shared" si="35"/>
        <v>22.336045444514426</v>
      </c>
      <c r="Y519">
        <f t="shared" ref="Y519:Y582" si="36">C519-B519</f>
        <v>2</v>
      </c>
      <c r="Z519" t="str" cm="1">
        <f t="array" ref="Z519">_xlfn.IFS(Y519&lt;0, "Invalid Date", ISBLANK(G519), "Missing Region", TRUE, "Clean")</f>
        <v>Clean</v>
      </c>
    </row>
    <row r="520" spans="1:26">
      <c r="A520" t="s">
        <v>1162</v>
      </c>
      <c r="B520" s="4">
        <v>45777</v>
      </c>
      <c r="C520" s="6">
        <v>45773</v>
      </c>
      <c r="D520" t="s">
        <v>2457</v>
      </c>
      <c r="E520" t="s">
        <v>137</v>
      </c>
      <c r="F520" t="s">
        <v>81</v>
      </c>
      <c r="G520" t="s">
        <v>36</v>
      </c>
      <c r="H520" t="s">
        <v>37</v>
      </c>
      <c r="I520" t="s">
        <v>38</v>
      </c>
      <c r="J520" t="s">
        <v>39</v>
      </c>
      <c r="K520" t="s">
        <v>40</v>
      </c>
      <c r="L520" t="s">
        <v>1163</v>
      </c>
      <c r="M520" t="s">
        <v>47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31</v>
      </c>
      <c r="U520" t="s">
        <v>63</v>
      </c>
      <c r="V520">
        <f t="shared" si="33"/>
        <v>8421.682499999999</v>
      </c>
      <c r="W520">
        <f t="shared" si="34"/>
        <v>1887.2124999999987</v>
      </c>
      <c r="X520">
        <f t="shared" si="35"/>
        <v>22.40897231639876</v>
      </c>
      <c r="Y520">
        <f t="shared" si="36"/>
        <v>-4</v>
      </c>
      <c r="Z520" t="str" cm="1">
        <f t="array" ref="Z520">_xlfn.IFS(Y520&lt;0, "Invalid Date", ISBLANK(G520), "Missing Region", TRUE, "Clean")</f>
        <v>Invalid Date</v>
      </c>
    </row>
    <row r="521" spans="1:26">
      <c r="A521" t="s">
        <v>1164</v>
      </c>
      <c r="B521" s="4">
        <v>45723</v>
      </c>
      <c r="C521" s="6">
        <v>45845</v>
      </c>
      <c r="D521" t="s">
        <v>2458</v>
      </c>
      <c r="E521" t="s">
        <v>100</v>
      </c>
      <c r="F521" t="s">
        <v>23</v>
      </c>
      <c r="G521" t="s">
        <v>24</v>
      </c>
      <c r="H521" t="s">
        <v>117</v>
      </c>
      <c r="I521" t="s">
        <v>118</v>
      </c>
      <c r="J521" t="s">
        <v>39</v>
      </c>
      <c r="K521" t="s">
        <v>40</v>
      </c>
      <c r="L521" t="s">
        <v>1165</v>
      </c>
      <c r="M521" t="s">
        <v>55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98</v>
      </c>
      <c r="U521" t="s">
        <v>63</v>
      </c>
      <c r="V521">
        <f t="shared" si="33"/>
        <v>13968.672</v>
      </c>
      <c r="W521">
        <f t="shared" si="34"/>
        <v>5111.0920000000006</v>
      </c>
      <c r="X521">
        <f t="shared" si="35"/>
        <v>36.589677243477411</v>
      </c>
      <c r="Y521">
        <f t="shared" si="36"/>
        <v>122</v>
      </c>
      <c r="Z521" t="str" cm="1">
        <f t="array" ref="Z521">_xlfn.IFS(Y521&lt;0, "Invalid Date", ISBLANK(G521), "Missing Region", TRUE, "Clean")</f>
        <v>Clean</v>
      </c>
    </row>
    <row r="522" spans="1:26">
      <c r="A522" t="s">
        <v>1166</v>
      </c>
      <c r="B522" s="4">
        <v>45489</v>
      </c>
      <c r="C522" s="6">
        <v>45496</v>
      </c>
      <c r="D522" t="s">
        <v>2459</v>
      </c>
      <c r="E522" t="s">
        <v>111</v>
      </c>
      <c r="F522" t="s">
        <v>85</v>
      </c>
      <c r="G522" t="s">
        <v>50</v>
      </c>
      <c r="H522" t="s">
        <v>147</v>
      </c>
      <c r="I522" t="s">
        <v>148</v>
      </c>
      <c r="J522" t="s">
        <v>68</v>
      </c>
      <c r="K522" t="s">
        <v>219</v>
      </c>
      <c r="L522" t="s">
        <v>1167</v>
      </c>
      <c r="M522" t="s">
        <v>42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31</v>
      </c>
      <c r="U522" t="s">
        <v>32</v>
      </c>
      <c r="V522">
        <f t="shared" si="33"/>
        <v>1611.1144999999999</v>
      </c>
      <c r="W522">
        <f t="shared" si="34"/>
        <v>715.96449999999993</v>
      </c>
      <c r="X522">
        <f t="shared" si="35"/>
        <v>44.43908238675774</v>
      </c>
      <c r="Y522">
        <f t="shared" si="36"/>
        <v>7</v>
      </c>
      <c r="Z522" t="str" cm="1">
        <f t="array" ref="Z522">_xlfn.IFS(Y522&lt;0, "Invalid Date", ISBLANK(G522), "Missing Region", TRUE, "Clean")</f>
        <v>Clean</v>
      </c>
    </row>
    <row r="523" spans="1:26">
      <c r="A523" t="s">
        <v>1168</v>
      </c>
      <c r="B523" s="4">
        <v>45741</v>
      </c>
      <c r="C523" s="6">
        <v>45661</v>
      </c>
      <c r="D523" t="s">
        <v>2460</v>
      </c>
      <c r="E523" t="s">
        <v>137</v>
      </c>
      <c r="F523" t="s">
        <v>23</v>
      </c>
      <c r="G523" t="s">
        <v>24</v>
      </c>
      <c r="H523" t="s">
        <v>106</v>
      </c>
      <c r="I523" t="s">
        <v>107</v>
      </c>
      <c r="J523" t="s">
        <v>27</v>
      </c>
      <c r="K523" t="s">
        <v>82</v>
      </c>
      <c r="L523" t="s">
        <v>1169</v>
      </c>
      <c r="M523" t="s">
        <v>30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31</v>
      </c>
      <c r="U523" t="s">
        <v>32</v>
      </c>
      <c r="V523">
        <f t="shared" si="33"/>
        <v>12495.027</v>
      </c>
      <c r="W523">
        <f t="shared" si="34"/>
        <v>3310.5069999999996</v>
      </c>
      <c r="X523">
        <f t="shared" si="35"/>
        <v>26.494596610315448</v>
      </c>
      <c r="Y523">
        <f t="shared" si="36"/>
        <v>-80</v>
      </c>
      <c r="Z523" t="str" cm="1">
        <f t="array" ref="Z523">_xlfn.IFS(Y523&lt;0, "Invalid Date", ISBLANK(G523), "Missing Region", TRUE, "Clean")</f>
        <v>Invalid Date</v>
      </c>
    </row>
    <row r="524" spans="1:26">
      <c r="A524" t="s">
        <v>1170</v>
      </c>
      <c r="B524" s="4">
        <v>45716</v>
      </c>
      <c r="C524" s="6">
        <v>45872</v>
      </c>
      <c r="D524" t="s">
        <v>2461</v>
      </c>
      <c r="E524" t="s">
        <v>72</v>
      </c>
      <c r="F524" t="s">
        <v>35</v>
      </c>
      <c r="G524" t="s">
        <v>36</v>
      </c>
      <c r="H524" t="s">
        <v>186</v>
      </c>
      <c r="I524" t="s">
        <v>187</v>
      </c>
      <c r="J524" t="s">
        <v>68</v>
      </c>
      <c r="K524" t="s">
        <v>144</v>
      </c>
      <c r="L524" t="s">
        <v>1171</v>
      </c>
      <c r="M524" t="s">
        <v>47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31</v>
      </c>
      <c r="U524" t="s">
        <v>32</v>
      </c>
      <c r="V524">
        <f t="shared" si="33"/>
        <v>33034.86</v>
      </c>
      <c r="W524">
        <f t="shared" si="34"/>
        <v>8495.0299999999988</v>
      </c>
      <c r="X524">
        <f t="shared" si="35"/>
        <v>25.715350390466305</v>
      </c>
      <c r="Y524">
        <f t="shared" si="36"/>
        <v>156</v>
      </c>
      <c r="Z524" t="str" cm="1">
        <f t="array" ref="Z524">_xlfn.IFS(Y524&lt;0, "Invalid Date", ISBLANK(G524), "Missing Region", TRUE, "Clean")</f>
        <v>Clean</v>
      </c>
    </row>
    <row r="525" spans="1:26">
      <c r="A525" t="s">
        <v>1172</v>
      </c>
      <c r="B525" s="4">
        <v>45326</v>
      </c>
      <c r="C525" s="6">
        <v>45355</v>
      </c>
      <c r="D525" t="s">
        <v>2462</v>
      </c>
      <c r="E525" t="s">
        <v>212</v>
      </c>
      <c r="F525" t="s">
        <v>85</v>
      </c>
      <c r="G525" t="s">
        <v>58</v>
      </c>
      <c r="H525" t="s">
        <v>159</v>
      </c>
      <c r="I525" t="s">
        <v>160</v>
      </c>
      <c r="J525" t="s">
        <v>27</v>
      </c>
      <c r="K525" t="s">
        <v>28</v>
      </c>
      <c r="L525" t="s">
        <v>1173</v>
      </c>
      <c r="M525" t="s">
        <v>30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31</v>
      </c>
      <c r="U525" t="s">
        <v>92</v>
      </c>
      <c r="V525">
        <f t="shared" si="33"/>
        <v>5805.26</v>
      </c>
      <c r="W525">
        <f t="shared" si="34"/>
        <v>1150.9000000000005</v>
      </c>
      <c r="X525">
        <f t="shared" si="35"/>
        <v>19.825124111581573</v>
      </c>
      <c r="Y525">
        <f t="shared" si="36"/>
        <v>29</v>
      </c>
      <c r="Z525" t="str" cm="1">
        <f t="array" ref="Z525">_xlfn.IFS(Y525&lt;0, "Invalid Date", ISBLANK(G525), "Missing Region", TRUE, "Clean")</f>
        <v>Clean</v>
      </c>
    </row>
    <row r="526" spans="1:26">
      <c r="A526" t="s">
        <v>1174</v>
      </c>
      <c r="B526" s="4">
        <v>45626</v>
      </c>
      <c r="C526" s="6">
        <v>45303</v>
      </c>
      <c r="D526" t="s">
        <v>2463</v>
      </c>
      <c r="E526" t="s">
        <v>57</v>
      </c>
      <c r="F526" t="s">
        <v>81</v>
      </c>
      <c r="G526" t="s">
        <v>58</v>
      </c>
      <c r="H526" t="s">
        <v>151</v>
      </c>
      <c r="I526" t="s">
        <v>152</v>
      </c>
      <c r="J526" t="s">
        <v>39</v>
      </c>
      <c r="K526" t="s">
        <v>61</v>
      </c>
      <c r="L526" t="s">
        <v>1175</v>
      </c>
      <c r="M526" t="s">
        <v>47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31</v>
      </c>
      <c r="U526" t="s">
        <v>32</v>
      </c>
      <c r="V526">
        <f t="shared" si="33"/>
        <v>34079.616000000002</v>
      </c>
      <c r="W526">
        <f t="shared" si="34"/>
        <v>12208.226000000002</v>
      </c>
      <c r="X526">
        <f t="shared" si="35"/>
        <v>35.822663025311094</v>
      </c>
      <c r="Y526">
        <f t="shared" si="36"/>
        <v>-323</v>
      </c>
      <c r="Z526" t="str" cm="1">
        <f t="array" ref="Z526">_xlfn.IFS(Y526&lt;0, "Invalid Date", ISBLANK(G526), "Missing Region", TRUE, "Clean")</f>
        <v>Invalid Date</v>
      </c>
    </row>
    <row r="527" spans="1:26">
      <c r="A527" t="s">
        <v>1176</v>
      </c>
      <c r="B527" s="4">
        <v>45582</v>
      </c>
      <c r="C527" s="6">
        <v>45582</v>
      </c>
      <c r="D527" t="s">
        <v>2464</v>
      </c>
      <c r="E527" t="s">
        <v>100</v>
      </c>
      <c r="F527" t="s">
        <v>85</v>
      </c>
      <c r="G527" t="s">
        <v>36</v>
      </c>
      <c r="H527" t="s">
        <v>88</v>
      </c>
      <c r="I527" t="s">
        <v>89</v>
      </c>
      <c r="J527" t="s">
        <v>39</v>
      </c>
      <c r="K527" t="s">
        <v>61</v>
      </c>
      <c r="L527" t="s">
        <v>1177</v>
      </c>
      <c r="M527" t="s">
        <v>55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31</v>
      </c>
      <c r="U527" t="s">
        <v>32</v>
      </c>
      <c r="V527">
        <f t="shared" si="33"/>
        <v>11359.800000000001</v>
      </c>
      <c r="W527">
        <f t="shared" si="34"/>
        <v>4297.3600000000015</v>
      </c>
      <c r="X527">
        <f t="shared" si="35"/>
        <v>37.829539252451639</v>
      </c>
      <c r="Y527">
        <f t="shared" si="36"/>
        <v>0</v>
      </c>
      <c r="Z527" t="str" cm="1">
        <f t="array" ref="Z527">_xlfn.IFS(Y527&lt;0, "Invalid Date", ISBLANK(G527), "Missing Region", TRUE, "Clean")</f>
        <v>Clean</v>
      </c>
    </row>
    <row r="528" spans="1:26">
      <c r="A528" t="s">
        <v>1178</v>
      </c>
      <c r="B528" s="4">
        <v>45856</v>
      </c>
      <c r="C528" s="6">
        <v>45859</v>
      </c>
      <c r="D528" t="s">
        <v>2465</v>
      </c>
      <c r="E528" t="s">
        <v>100</v>
      </c>
      <c r="F528" t="s">
        <v>23</v>
      </c>
      <c r="G528" t="s">
        <v>36</v>
      </c>
      <c r="H528" t="s">
        <v>37</v>
      </c>
      <c r="I528" t="s">
        <v>38</v>
      </c>
      <c r="J528" t="s">
        <v>39</v>
      </c>
      <c r="K528" t="s">
        <v>40</v>
      </c>
      <c r="L528" t="s">
        <v>1179</v>
      </c>
      <c r="M528" t="s">
        <v>30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31</v>
      </c>
      <c r="U528" t="s">
        <v>32</v>
      </c>
      <c r="V528">
        <f t="shared" si="33"/>
        <v>1136.1600000000001</v>
      </c>
      <c r="W528">
        <f t="shared" si="34"/>
        <v>564.08000000000004</v>
      </c>
      <c r="X528">
        <f t="shared" si="35"/>
        <v>49.647936910294327</v>
      </c>
      <c r="Y528">
        <f t="shared" si="36"/>
        <v>3</v>
      </c>
      <c r="Z528" t="str" cm="1">
        <f t="array" ref="Z528">_xlfn.IFS(Y528&lt;0, "Invalid Date", ISBLANK(G528), "Missing Region", TRUE, "Clean")</f>
        <v>Clean</v>
      </c>
    </row>
    <row r="529" spans="1:26">
      <c r="A529" t="s">
        <v>1180</v>
      </c>
      <c r="B529" s="4">
        <v>45667</v>
      </c>
      <c r="C529" s="6">
        <v>45787</v>
      </c>
      <c r="D529" t="s">
        <v>2466</v>
      </c>
      <c r="E529" t="s">
        <v>80</v>
      </c>
      <c r="F529" t="s">
        <v>85</v>
      </c>
      <c r="G529" t="s">
        <v>24</v>
      </c>
      <c r="H529" t="s">
        <v>192</v>
      </c>
      <c r="I529" t="s">
        <v>193</v>
      </c>
      <c r="J529" t="s">
        <v>27</v>
      </c>
      <c r="K529" t="s">
        <v>28</v>
      </c>
      <c r="L529" t="s">
        <v>1181</v>
      </c>
      <c r="M529" t="s">
        <v>47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31</v>
      </c>
      <c r="U529" t="s">
        <v>32</v>
      </c>
      <c r="V529">
        <f t="shared" si="33"/>
        <v>13802.13</v>
      </c>
      <c r="W529">
        <f t="shared" si="34"/>
        <v>3726.1999999999989</v>
      </c>
      <c r="X529">
        <f t="shared" si="35"/>
        <v>26.997282303528507</v>
      </c>
      <c r="Y529">
        <f t="shared" si="36"/>
        <v>120</v>
      </c>
      <c r="Z529" t="str" cm="1">
        <f t="array" ref="Z529">_xlfn.IFS(Y529&lt;0, "Invalid Date", ISBLANK(G529), "Missing Region", TRUE, "Clean")</f>
        <v>Clean</v>
      </c>
    </row>
    <row r="530" spans="1:26">
      <c r="A530" t="s">
        <v>1182</v>
      </c>
      <c r="B530" s="4">
        <v>45483</v>
      </c>
      <c r="C530" s="6">
        <v>45545</v>
      </c>
      <c r="D530" t="s">
        <v>2154</v>
      </c>
      <c r="E530" t="s">
        <v>137</v>
      </c>
      <c r="F530" t="s">
        <v>23</v>
      </c>
      <c r="G530" t="s">
        <v>50</v>
      </c>
      <c r="H530" t="s">
        <v>200</v>
      </c>
      <c r="I530" t="s">
        <v>201</v>
      </c>
      <c r="J530" t="s">
        <v>27</v>
      </c>
      <c r="K530" t="s">
        <v>130</v>
      </c>
      <c r="L530" t="s">
        <v>1183</v>
      </c>
      <c r="M530" t="s">
        <v>55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98</v>
      </c>
      <c r="U530" t="s">
        <v>92</v>
      </c>
      <c r="V530">
        <f t="shared" si="33"/>
        <v>29558.119500000001</v>
      </c>
      <c r="W530">
        <f t="shared" si="34"/>
        <v>8255.9894999999997</v>
      </c>
      <c r="X530">
        <f t="shared" si="35"/>
        <v>27.931376013281223</v>
      </c>
      <c r="Y530">
        <f t="shared" si="36"/>
        <v>62</v>
      </c>
      <c r="Z530" t="str" cm="1">
        <f t="array" ref="Z530">_xlfn.IFS(Y530&lt;0, "Invalid Date", ISBLANK(G530), "Missing Region", TRUE, "Clean")</f>
        <v>Clean</v>
      </c>
    </row>
    <row r="531" spans="1:26">
      <c r="A531" t="s">
        <v>1184</v>
      </c>
      <c r="B531" s="4">
        <v>45445</v>
      </c>
      <c r="C531" s="6">
        <v>45506</v>
      </c>
      <c r="D531" t="s">
        <v>2467</v>
      </c>
      <c r="E531" t="s">
        <v>22</v>
      </c>
      <c r="F531" t="s">
        <v>23</v>
      </c>
      <c r="G531" t="s">
        <v>36</v>
      </c>
      <c r="H531" t="s">
        <v>186</v>
      </c>
      <c r="I531" t="s">
        <v>187</v>
      </c>
      <c r="J531" t="s">
        <v>39</v>
      </c>
      <c r="K531" t="s">
        <v>134</v>
      </c>
      <c r="L531" t="s">
        <v>1185</v>
      </c>
      <c r="M531" t="s">
        <v>30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31</v>
      </c>
      <c r="U531" t="s">
        <v>32</v>
      </c>
      <c r="V531">
        <f t="shared" si="33"/>
        <v>16400.25</v>
      </c>
      <c r="W531">
        <f t="shared" si="34"/>
        <v>4253.2900000000009</v>
      </c>
      <c r="X531">
        <f t="shared" si="35"/>
        <v>25.934299782015525</v>
      </c>
      <c r="Y531">
        <f t="shared" si="36"/>
        <v>61</v>
      </c>
      <c r="Z531" t="str" cm="1">
        <f t="array" ref="Z531">_xlfn.IFS(Y531&lt;0, "Invalid Date", ISBLANK(G531), "Missing Region", TRUE, "Clean")</f>
        <v>Clean</v>
      </c>
    </row>
    <row r="532" spans="1:26">
      <c r="A532" t="s">
        <v>1186</v>
      </c>
      <c r="B532" s="4">
        <v>45807</v>
      </c>
      <c r="C532" s="6">
        <v>45663</v>
      </c>
      <c r="D532" t="s">
        <v>2468</v>
      </c>
      <c r="E532" t="s">
        <v>103</v>
      </c>
      <c r="F532" t="s">
        <v>85</v>
      </c>
      <c r="G532" t="s">
        <v>50</v>
      </c>
      <c r="H532" t="s">
        <v>200</v>
      </c>
      <c r="I532" t="s">
        <v>201</v>
      </c>
      <c r="J532" t="s">
        <v>27</v>
      </c>
      <c r="K532" t="s">
        <v>130</v>
      </c>
      <c r="L532" t="s">
        <v>1187</v>
      </c>
      <c r="M532" t="s">
        <v>55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31</v>
      </c>
      <c r="U532" t="s">
        <v>32</v>
      </c>
      <c r="V532">
        <f t="shared" si="33"/>
        <v>17053.0605</v>
      </c>
      <c r="W532">
        <f t="shared" si="34"/>
        <v>6310.6805000000004</v>
      </c>
      <c r="X532">
        <f t="shared" si="35"/>
        <v>37.00614619880109</v>
      </c>
      <c r="Y532">
        <f t="shared" si="36"/>
        <v>-144</v>
      </c>
      <c r="Z532" t="str" cm="1">
        <f t="array" ref="Z532">_xlfn.IFS(Y532&lt;0, "Invalid Date", ISBLANK(G532), "Missing Region", TRUE, "Clean")</f>
        <v>Invalid Date</v>
      </c>
    </row>
    <row r="533" spans="1:26">
      <c r="A533" t="s">
        <v>1188</v>
      </c>
      <c r="B533" s="4">
        <v>45299</v>
      </c>
      <c r="C533" s="6">
        <v>45512</v>
      </c>
      <c r="D533" t="s">
        <v>2469</v>
      </c>
      <c r="E533" t="s">
        <v>137</v>
      </c>
      <c r="F533" t="s">
        <v>35</v>
      </c>
      <c r="G533" t="s">
        <v>58</v>
      </c>
      <c r="H533" t="s">
        <v>59</v>
      </c>
      <c r="I533" t="s">
        <v>60</v>
      </c>
      <c r="J533" t="s">
        <v>27</v>
      </c>
      <c r="K533" t="s">
        <v>108</v>
      </c>
      <c r="L533" t="s">
        <v>1189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31</v>
      </c>
      <c r="U533" t="s">
        <v>32</v>
      </c>
      <c r="V533">
        <f t="shared" si="33"/>
        <v>398.67300000000006</v>
      </c>
      <c r="W533">
        <f t="shared" si="34"/>
        <v>87.013000000000034</v>
      </c>
      <c r="X533">
        <f t="shared" si="35"/>
        <v>21.825656615822997</v>
      </c>
      <c r="Y533">
        <f t="shared" si="36"/>
        <v>213</v>
      </c>
      <c r="Z533" t="str" cm="1">
        <f t="array" ref="Z533">_xlfn.IFS(Y533&lt;0, "Invalid Date", ISBLANK(G533), "Missing Region", TRUE, "Clean")</f>
        <v>Clean</v>
      </c>
    </row>
    <row r="534" spans="1:26">
      <c r="A534" t="s">
        <v>1190</v>
      </c>
      <c r="B534" s="4">
        <v>45787</v>
      </c>
      <c r="C534" s="6">
        <v>45940</v>
      </c>
      <c r="D534" t="s">
        <v>2470</v>
      </c>
      <c r="E534" t="s">
        <v>100</v>
      </c>
      <c r="F534" t="s">
        <v>81</v>
      </c>
      <c r="G534" t="s">
        <v>36</v>
      </c>
      <c r="H534" t="s">
        <v>140</v>
      </c>
      <c r="I534" t="s">
        <v>141</v>
      </c>
      <c r="J534" t="s">
        <v>39</v>
      </c>
      <c r="K534" t="s">
        <v>40</v>
      </c>
      <c r="L534" t="s">
        <v>1191</v>
      </c>
      <c r="M534" t="s">
        <v>30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132</v>
      </c>
      <c r="U534" t="s">
        <v>63</v>
      </c>
      <c r="V534">
        <f t="shared" si="33"/>
        <v>17862.146999999997</v>
      </c>
      <c r="W534">
        <f t="shared" si="34"/>
        <v>7969.9369999999981</v>
      </c>
      <c r="X534">
        <f t="shared" si="35"/>
        <v>44.619143488182019</v>
      </c>
      <c r="Y534">
        <f t="shared" si="36"/>
        <v>153</v>
      </c>
      <c r="Z534" t="str" cm="1">
        <f t="array" ref="Z534">_xlfn.IFS(Y534&lt;0, "Invalid Date", ISBLANK(G534), "Missing Region", TRUE, "Clean")</f>
        <v>Clean</v>
      </c>
    </row>
    <row r="535" spans="1:26">
      <c r="A535" t="s">
        <v>1192</v>
      </c>
      <c r="B535" s="4">
        <v>45529</v>
      </c>
      <c r="C535" s="6">
        <v>45300</v>
      </c>
      <c r="D535" t="s">
        <v>2471</v>
      </c>
      <c r="E535" t="s">
        <v>44</v>
      </c>
      <c r="F535" t="s">
        <v>85</v>
      </c>
      <c r="G535" t="s">
        <v>24</v>
      </c>
      <c r="H535" t="s">
        <v>25</v>
      </c>
      <c r="I535" t="s">
        <v>26</v>
      </c>
      <c r="J535" t="s">
        <v>39</v>
      </c>
      <c r="K535" t="s">
        <v>40</v>
      </c>
      <c r="L535" t="s">
        <v>1193</v>
      </c>
      <c r="M535" t="s">
        <v>42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31</v>
      </c>
      <c r="U535" t="s">
        <v>32</v>
      </c>
      <c r="V535">
        <f t="shared" si="33"/>
        <v>2165.8500000000004</v>
      </c>
      <c r="W535">
        <f t="shared" si="34"/>
        <v>41.370000000000346</v>
      </c>
      <c r="X535">
        <f t="shared" si="35"/>
        <v>1.9101045778793699</v>
      </c>
      <c r="Y535">
        <f t="shared" si="36"/>
        <v>-229</v>
      </c>
      <c r="Z535" t="str" cm="1">
        <f t="array" ref="Z535">_xlfn.IFS(Y535&lt;0, "Invalid Date", ISBLANK(G535), "Missing Region", TRUE, "Clean")</f>
        <v>Invalid Date</v>
      </c>
    </row>
    <row r="536" spans="1:26">
      <c r="A536" t="s">
        <v>1194</v>
      </c>
      <c r="B536" s="4">
        <v>45774</v>
      </c>
      <c r="C536" s="6">
        <v>45782</v>
      </c>
      <c r="D536" t="s">
        <v>2472</v>
      </c>
      <c r="E536" t="s">
        <v>121</v>
      </c>
      <c r="F536" t="s">
        <v>85</v>
      </c>
      <c r="G536" t="s">
        <v>36</v>
      </c>
      <c r="H536" t="s">
        <v>124</v>
      </c>
      <c r="I536" t="s">
        <v>125</v>
      </c>
      <c r="J536" t="s">
        <v>68</v>
      </c>
      <c r="K536" t="s">
        <v>69</v>
      </c>
      <c r="L536" t="s">
        <v>1195</v>
      </c>
      <c r="M536" t="s">
        <v>30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98</v>
      </c>
      <c r="U536" t="s">
        <v>92</v>
      </c>
      <c r="V536">
        <f t="shared" si="33"/>
        <v>14268.204</v>
      </c>
      <c r="W536">
        <f t="shared" si="34"/>
        <v>2562.9040000000005</v>
      </c>
      <c r="X536">
        <f t="shared" si="35"/>
        <v>17.962344805274725</v>
      </c>
      <c r="Y536">
        <f t="shared" si="36"/>
        <v>8</v>
      </c>
      <c r="Z536" t="str" cm="1">
        <f t="array" ref="Z536">_xlfn.IFS(Y536&lt;0, "Invalid Date", ISBLANK(G536), "Missing Region", TRUE, "Clean")</f>
        <v>Clean</v>
      </c>
    </row>
    <row r="537" spans="1:26">
      <c r="A537" t="s">
        <v>1196</v>
      </c>
      <c r="B537" s="4">
        <v>45431</v>
      </c>
      <c r="C537" s="6">
        <v>45433</v>
      </c>
      <c r="D537" t="s">
        <v>2473</v>
      </c>
      <c r="E537" t="s">
        <v>137</v>
      </c>
      <c r="F537" t="s">
        <v>35</v>
      </c>
      <c r="G537" t="s">
        <v>58</v>
      </c>
      <c r="H537" t="s">
        <v>59</v>
      </c>
      <c r="I537" t="s">
        <v>60</v>
      </c>
      <c r="J537" t="s">
        <v>68</v>
      </c>
      <c r="K537" t="s">
        <v>73</v>
      </c>
      <c r="L537" t="s">
        <v>1197</v>
      </c>
      <c r="M537" t="s">
        <v>47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31</v>
      </c>
      <c r="U537" t="s">
        <v>32</v>
      </c>
      <c r="V537">
        <f t="shared" si="33"/>
        <v>9602.3520000000008</v>
      </c>
      <c r="W537">
        <f t="shared" si="34"/>
        <v>2214.7820000000011</v>
      </c>
      <c r="X537">
        <f t="shared" si="35"/>
        <v>23.064994909580495</v>
      </c>
      <c r="Y537">
        <f t="shared" si="36"/>
        <v>2</v>
      </c>
      <c r="Z537" t="str" cm="1">
        <f t="array" ref="Z537">_xlfn.IFS(Y537&lt;0, "Invalid Date", ISBLANK(G537), "Missing Region", TRUE, "Clean")</f>
        <v>Clean</v>
      </c>
    </row>
    <row r="538" spans="1:26">
      <c r="A538" t="s">
        <v>1198</v>
      </c>
      <c r="B538" s="4">
        <v>45934</v>
      </c>
      <c r="C538" s="6">
        <v>45764</v>
      </c>
      <c r="D538" t="s">
        <v>2474</v>
      </c>
      <c r="E538" t="s">
        <v>57</v>
      </c>
      <c r="F538" t="s">
        <v>35</v>
      </c>
      <c r="G538" t="s">
        <v>58</v>
      </c>
      <c r="H538" t="s">
        <v>25</v>
      </c>
      <c r="I538" t="s">
        <v>96</v>
      </c>
      <c r="J538" t="s">
        <v>39</v>
      </c>
      <c r="K538" t="s">
        <v>61</v>
      </c>
      <c r="L538" t="s">
        <v>1199</v>
      </c>
      <c r="M538" t="s">
        <v>47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132</v>
      </c>
      <c r="U538" t="s">
        <v>63</v>
      </c>
      <c r="V538">
        <f t="shared" si="33"/>
        <v>19891.724999999999</v>
      </c>
      <c r="W538">
        <f t="shared" si="34"/>
        <v>7595.9649999999983</v>
      </c>
      <c r="X538">
        <f t="shared" si="35"/>
        <v>38.186557475533164</v>
      </c>
      <c r="Y538">
        <f t="shared" si="36"/>
        <v>-170</v>
      </c>
      <c r="Z538" t="str" cm="1">
        <f t="array" ref="Z538">_xlfn.IFS(Y538&lt;0, "Invalid Date", ISBLANK(G538), "Missing Region", TRUE, "Clean")</f>
        <v>Invalid Date</v>
      </c>
    </row>
    <row r="539" spans="1:26">
      <c r="A539" t="s">
        <v>1200</v>
      </c>
      <c r="B539" s="4">
        <v>45313</v>
      </c>
      <c r="C539" s="6">
        <v>45321</v>
      </c>
      <c r="D539" t="s">
        <v>2475</v>
      </c>
      <c r="E539" t="s">
        <v>57</v>
      </c>
      <c r="F539" t="s">
        <v>35</v>
      </c>
      <c r="G539" t="s">
        <v>24</v>
      </c>
      <c r="H539" t="s">
        <v>192</v>
      </c>
      <c r="I539" t="s">
        <v>193</v>
      </c>
      <c r="J539" t="s">
        <v>27</v>
      </c>
      <c r="K539" t="s">
        <v>45</v>
      </c>
      <c r="L539" t="s">
        <v>1201</v>
      </c>
      <c r="M539" t="s">
        <v>42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132</v>
      </c>
      <c r="U539" t="s">
        <v>63</v>
      </c>
      <c r="V539">
        <f t="shared" si="33"/>
        <v>1927.6545000000001</v>
      </c>
      <c r="W539">
        <f t="shared" si="34"/>
        <v>467.05450000000019</v>
      </c>
      <c r="X539">
        <f t="shared" si="35"/>
        <v>24.229160360427667</v>
      </c>
      <c r="Y539">
        <f t="shared" si="36"/>
        <v>8</v>
      </c>
      <c r="Z539" t="str" cm="1">
        <f t="array" ref="Z539">_xlfn.IFS(Y539&lt;0, "Invalid Date", ISBLANK(G539), "Missing Region", TRUE, "Clean")</f>
        <v>Clean</v>
      </c>
    </row>
    <row r="540" spans="1:26">
      <c r="A540" t="s">
        <v>1202</v>
      </c>
      <c r="B540" s="4">
        <v>45560</v>
      </c>
      <c r="C540" s="6">
        <v>45301</v>
      </c>
      <c r="D540" t="s">
        <v>2476</v>
      </c>
      <c r="E540" t="s">
        <v>137</v>
      </c>
      <c r="F540" t="s">
        <v>35</v>
      </c>
      <c r="G540" t="s">
        <v>36</v>
      </c>
      <c r="H540" t="s">
        <v>186</v>
      </c>
      <c r="I540" t="s">
        <v>187</v>
      </c>
      <c r="J540" t="s">
        <v>39</v>
      </c>
      <c r="K540" t="s">
        <v>40</v>
      </c>
      <c r="L540" t="s">
        <v>1203</v>
      </c>
      <c r="M540" t="s">
        <v>30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31</v>
      </c>
      <c r="U540" t="s">
        <v>32</v>
      </c>
      <c r="V540">
        <f t="shared" si="33"/>
        <v>29900.79</v>
      </c>
      <c r="W540">
        <f t="shared" si="34"/>
        <v>5250.1200000000026</v>
      </c>
      <c r="X540">
        <f t="shared" si="35"/>
        <v>17.558465846554565</v>
      </c>
      <c r="Y540">
        <f t="shared" si="36"/>
        <v>-259</v>
      </c>
      <c r="Z540" t="str" cm="1">
        <f t="array" ref="Z540">_xlfn.IFS(Y540&lt;0, "Invalid Date", ISBLANK(G540), "Missing Region", TRUE, "Clean")</f>
        <v>Invalid Date</v>
      </c>
    </row>
    <row r="541" spans="1:26">
      <c r="A541" t="s">
        <v>1204</v>
      </c>
      <c r="B541" s="4">
        <v>45842</v>
      </c>
      <c r="C541" s="6">
        <v>45754</v>
      </c>
      <c r="D541" t="s">
        <v>2477</v>
      </c>
      <c r="E541" t="s">
        <v>34</v>
      </c>
      <c r="F541" t="s">
        <v>35</v>
      </c>
      <c r="G541" t="s">
        <v>50</v>
      </c>
      <c r="H541" t="s">
        <v>200</v>
      </c>
      <c r="I541" t="s">
        <v>201</v>
      </c>
      <c r="J541" t="s">
        <v>39</v>
      </c>
      <c r="K541" t="s">
        <v>61</v>
      </c>
      <c r="L541" t="s">
        <v>1205</v>
      </c>
      <c r="M541" t="s">
        <v>55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31</v>
      </c>
      <c r="U541" t="s">
        <v>63</v>
      </c>
      <c r="V541">
        <f t="shared" si="33"/>
        <v>1904.4450000000002</v>
      </c>
      <c r="W541">
        <f t="shared" si="34"/>
        <v>587.9050000000002</v>
      </c>
      <c r="X541">
        <f t="shared" si="35"/>
        <v>30.870148520960182</v>
      </c>
      <c r="Y541">
        <f t="shared" si="36"/>
        <v>-88</v>
      </c>
      <c r="Z541" t="str" cm="1">
        <f t="array" ref="Z541">_xlfn.IFS(Y541&lt;0, "Invalid Date", ISBLANK(G541), "Missing Region", TRUE, "Clean")</f>
        <v>Invalid Date</v>
      </c>
    </row>
    <row r="542" spans="1:26">
      <c r="A542" t="s">
        <v>1206</v>
      </c>
      <c r="B542" s="4">
        <v>45348</v>
      </c>
      <c r="C542" s="6">
        <v>45345</v>
      </c>
      <c r="D542" t="s">
        <v>2478</v>
      </c>
      <c r="E542" t="s">
        <v>212</v>
      </c>
      <c r="F542" t="s">
        <v>23</v>
      </c>
      <c r="G542" t="s">
        <v>58</v>
      </c>
      <c r="H542" t="s">
        <v>151</v>
      </c>
      <c r="I542" t="s">
        <v>152</v>
      </c>
      <c r="J542" t="s">
        <v>39</v>
      </c>
      <c r="K542" t="s">
        <v>53</v>
      </c>
      <c r="L542" t="s">
        <v>1207</v>
      </c>
      <c r="M542" t="s">
        <v>55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31</v>
      </c>
      <c r="U542" t="s">
        <v>32</v>
      </c>
      <c r="V542">
        <f t="shared" si="33"/>
        <v>21571.592000000004</v>
      </c>
      <c r="W542">
        <f t="shared" si="34"/>
        <v>4453.5220000000045</v>
      </c>
      <c r="X542">
        <f t="shared" si="35"/>
        <v>20.645309813017061</v>
      </c>
      <c r="Y542">
        <f t="shared" si="36"/>
        <v>-3</v>
      </c>
      <c r="Z542" t="str" cm="1">
        <f t="array" ref="Z542">_xlfn.IFS(Y542&lt;0, "Invalid Date", ISBLANK(G542), "Missing Region", TRUE, "Clean")</f>
        <v>Invalid Date</v>
      </c>
    </row>
    <row r="543" spans="1:26">
      <c r="A543" t="s">
        <v>1208</v>
      </c>
      <c r="B543" s="4">
        <v>45876</v>
      </c>
      <c r="C543" s="6">
        <v>45907</v>
      </c>
      <c r="D543" t="s">
        <v>2479</v>
      </c>
      <c r="E543" t="s">
        <v>114</v>
      </c>
      <c r="F543" t="s">
        <v>23</v>
      </c>
      <c r="G543" t="s">
        <v>58</v>
      </c>
      <c r="H543" t="s">
        <v>59</v>
      </c>
      <c r="I543" t="s">
        <v>60</v>
      </c>
      <c r="J543" t="s">
        <v>68</v>
      </c>
      <c r="K543" t="s">
        <v>73</v>
      </c>
      <c r="L543" t="s">
        <v>1209</v>
      </c>
      <c r="M543" t="s">
        <v>42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31</v>
      </c>
      <c r="U543" t="s">
        <v>92</v>
      </c>
      <c r="V543">
        <f t="shared" si="33"/>
        <v>8641.68</v>
      </c>
      <c r="W543">
        <f t="shared" si="34"/>
        <v>2894.59</v>
      </c>
      <c r="X543">
        <f t="shared" si="35"/>
        <v>33.49568602401385</v>
      </c>
      <c r="Y543">
        <f t="shared" si="36"/>
        <v>31</v>
      </c>
      <c r="Z543" t="str" cm="1">
        <f t="array" ref="Z543">_xlfn.IFS(Y543&lt;0, "Invalid Date", ISBLANK(G543), "Missing Region", TRUE, "Clean")</f>
        <v>Clean</v>
      </c>
    </row>
    <row r="544" spans="1:26">
      <c r="A544" t="s">
        <v>1210</v>
      </c>
      <c r="B544" s="4">
        <v>45552</v>
      </c>
      <c r="C544" s="6">
        <v>45558</v>
      </c>
      <c r="D544" t="s">
        <v>2480</v>
      </c>
      <c r="E544" t="s">
        <v>103</v>
      </c>
      <c r="F544" t="s">
        <v>85</v>
      </c>
      <c r="G544" t="s">
        <v>50</v>
      </c>
      <c r="H544" t="s">
        <v>155</v>
      </c>
      <c r="I544" t="s">
        <v>156</v>
      </c>
      <c r="J544" t="s">
        <v>39</v>
      </c>
      <c r="K544" t="s">
        <v>134</v>
      </c>
      <c r="L544" t="s">
        <v>1211</v>
      </c>
      <c r="M544" t="s">
        <v>30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31</v>
      </c>
      <c r="U544" t="s">
        <v>1212</v>
      </c>
      <c r="V544">
        <f t="shared" si="33"/>
        <v>9762.2880000000005</v>
      </c>
      <c r="W544">
        <f t="shared" si="34"/>
        <v>1394.0480000000007</v>
      </c>
      <c r="X544">
        <f t="shared" si="35"/>
        <v>14.279931098119627</v>
      </c>
      <c r="Y544">
        <f t="shared" si="36"/>
        <v>6</v>
      </c>
      <c r="Z544" t="str" cm="1">
        <f t="array" ref="Z544">_xlfn.IFS(Y544&lt;0, "Invalid Date", ISBLANK(G544), "Missing Region", TRUE, "Clean")</f>
        <v>Clean</v>
      </c>
    </row>
    <row r="545" spans="1:26">
      <c r="A545" t="s">
        <v>1213</v>
      </c>
      <c r="B545" s="4">
        <v>45487</v>
      </c>
      <c r="C545" s="6">
        <v>45493</v>
      </c>
      <c r="D545" t="s">
        <v>2481</v>
      </c>
      <c r="E545" t="s">
        <v>34</v>
      </c>
      <c r="F545" t="s">
        <v>23</v>
      </c>
      <c r="G545" t="s">
        <v>36</v>
      </c>
      <c r="H545" t="s">
        <v>124</v>
      </c>
      <c r="I545" t="s">
        <v>125</v>
      </c>
      <c r="J545" t="s">
        <v>68</v>
      </c>
      <c r="K545" t="s">
        <v>73</v>
      </c>
      <c r="L545" t="s">
        <v>1214</v>
      </c>
      <c r="M545" t="s">
        <v>42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31</v>
      </c>
      <c r="U545" t="s">
        <v>32</v>
      </c>
      <c r="V545">
        <f t="shared" si="33"/>
        <v>418.76949999999999</v>
      </c>
      <c r="W545">
        <f t="shared" si="34"/>
        <v>105.04949999999997</v>
      </c>
      <c r="X545">
        <f t="shared" si="35"/>
        <v>25.085279610859907</v>
      </c>
      <c r="Y545">
        <f t="shared" si="36"/>
        <v>6</v>
      </c>
      <c r="Z545" t="str" cm="1">
        <f t="array" ref="Z545">_xlfn.IFS(Y545&lt;0, "Invalid Date", ISBLANK(G545), "Missing Region", TRUE, "Clean")</f>
        <v>Clean</v>
      </c>
    </row>
    <row r="546" spans="1:26">
      <c r="A546" t="s">
        <v>1215</v>
      </c>
      <c r="B546" s="4">
        <v>45686</v>
      </c>
      <c r="C546" s="6">
        <v>45693</v>
      </c>
      <c r="D546" t="s">
        <v>2482</v>
      </c>
      <c r="E546" t="s">
        <v>57</v>
      </c>
      <c r="F546" t="s">
        <v>23</v>
      </c>
      <c r="G546" t="s">
        <v>50</v>
      </c>
      <c r="H546" t="s">
        <v>155</v>
      </c>
      <c r="I546" t="s">
        <v>156</v>
      </c>
      <c r="J546" t="s">
        <v>27</v>
      </c>
      <c r="K546" t="s">
        <v>45</v>
      </c>
      <c r="L546" t="s">
        <v>1216</v>
      </c>
      <c r="M546" t="s">
        <v>42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31</v>
      </c>
      <c r="U546" t="s">
        <v>63</v>
      </c>
      <c r="V546">
        <f t="shared" si="33"/>
        <v>21861.72</v>
      </c>
      <c r="W546">
        <f t="shared" si="34"/>
        <v>3397.380000000001</v>
      </c>
      <c r="X546">
        <f t="shared" si="35"/>
        <v>15.540314302808749</v>
      </c>
      <c r="Y546">
        <f t="shared" si="36"/>
        <v>7</v>
      </c>
      <c r="Z546" t="str" cm="1">
        <f t="array" ref="Z546">_xlfn.IFS(Y546&lt;0, "Invalid Date", ISBLANK(G546), "Missing Region", TRUE, "Clean")</f>
        <v>Clean</v>
      </c>
    </row>
    <row r="547" spans="1:26">
      <c r="A547" t="s">
        <v>1217</v>
      </c>
      <c r="B547" s="4">
        <v>45439</v>
      </c>
      <c r="C547" s="6">
        <v>45442</v>
      </c>
      <c r="D547" t="s">
        <v>2483</v>
      </c>
      <c r="E547" t="s">
        <v>212</v>
      </c>
      <c r="F547" t="s">
        <v>35</v>
      </c>
      <c r="G547" t="s">
        <v>36</v>
      </c>
      <c r="H547" t="s">
        <v>186</v>
      </c>
      <c r="I547" t="s">
        <v>187</v>
      </c>
      <c r="J547" t="s">
        <v>27</v>
      </c>
      <c r="K547" t="s">
        <v>108</v>
      </c>
      <c r="L547" t="s">
        <v>1218</v>
      </c>
      <c r="M547" t="s">
        <v>42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31</v>
      </c>
      <c r="U547" t="s">
        <v>32</v>
      </c>
      <c r="V547">
        <f t="shared" si="33"/>
        <v>17260.116999999998</v>
      </c>
      <c r="W547">
        <f t="shared" si="34"/>
        <v>3746.6069999999982</v>
      </c>
      <c r="X547">
        <f t="shared" si="35"/>
        <v>21.706730029697933</v>
      </c>
      <c r="Y547">
        <f t="shared" si="36"/>
        <v>3</v>
      </c>
      <c r="Z547" t="str" cm="1">
        <f t="array" ref="Z547">_xlfn.IFS(Y547&lt;0, "Invalid Date", ISBLANK(G547), "Missing Region", TRUE, "Clean")</f>
        <v>Clean</v>
      </c>
    </row>
    <row r="548" spans="1:26">
      <c r="A548" t="s">
        <v>1219</v>
      </c>
      <c r="B548" s="4">
        <v>45883</v>
      </c>
      <c r="C548" s="6">
        <v>45891</v>
      </c>
      <c r="D548" t="s">
        <v>2484</v>
      </c>
      <c r="E548" t="s">
        <v>49</v>
      </c>
      <c r="F548" t="s">
        <v>81</v>
      </c>
      <c r="G548" t="s">
        <v>58</v>
      </c>
      <c r="H548" t="s">
        <v>151</v>
      </c>
      <c r="I548" t="s">
        <v>152</v>
      </c>
      <c r="J548" t="s">
        <v>1220</v>
      </c>
      <c r="K548" t="s">
        <v>28</v>
      </c>
      <c r="L548" t="s">
        <v>1221</v>
      </c>
      <c r="M548" t="s">
        <v>47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31</v>
      </c>
      <c r="U548" t="s">
        <v>32</v>
      </c>
      <c r="V548">
        <f t="shared" si="33"/>
        <v>10911.322499999998</v>
      </c>
      <c r="W548">
        <f t="shared" si="34"/>
        <v>3944.8824999999988</v>
      </c>
      <c r="X548">
        <f t="shared" si="35"/>
        <v>36.154027158486052</v>
      </c>
      <c r="Y548">
        <f t="shared" si="36"/>
        <v>8</v>
      </c>
      <c r="Z548" t="str" cm="1">
        <f t="array" ref="Z548">_xlfn.IFS(Y548&lt;0, "Invalid Date", ISBLANK(G548), "Missing Region", TRUE, "Clean")</f>
        <v>Clean</v>
      </c>
    </row>
    <row r="549" spans="1:26">
      <c r="A549" t="s">
        <v>1222</v>
      </c>
      <c r="B549" s="4">
        <v>45428</v>
      </c>
      <c r="C549" s="6">
        <v>45435</v>
      </c>
      <c r="D549" t="s">
        <v>2485</v>
      </c>
      <c r="E549" t="s">
        <v>72</v>
      </c>
      <c r="F549" t="s">
        <v>35</v>
      </c>
      <c r="G549" t="s">
        <v>24</v>
      </c>
      <c r="H549" t="s">
        <v>117</v>
      </c>
      <c r="I549" t="s">
        <v>118</v>
      </c>
      <c r="J549" t="s">
        <v>68</v>
      </c>
      <c r="K549" t="s">
        <v>73</v>
      </c>
      <c r="L549" t="s">
        <v>1223</v>
      </c>
      <c r="M549" t="s">
        <v>55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31</v>
      </c>
      <c r="U549" t="s">
        <v>32</v>
      </c>
      <c r="V549">
        <f t="shared" si="33"/>
        <v>30148.929</v>
      </c>
      <c r="W549">
        <f t="shared" si="34"/>
        <v>4993.8590000000004</v>
      </c>
      <c r="X549">
        <f t="shared" si="35"/>
        <v>16.563968159532301</v>
      </c>
      <c r="Y549">
        <f t="shared" si="36"/>
        <v>7</v>
      </c>
      <c r="Z549" t="str" cm="1">
        <f t="array" ref="Z549">_xlfn.IFS(Y549&lt;0, "Invalid Date", ISBLANK(G549), "Missing Region", TRUE, "Clean")</f>
        <v>Clean</v>
      </c>
    </row>
    <row r="550" spans="1:26">
      <c r="A550" t="s">
        <v>1224</v>
      </c>
      <c r="B550" s="4">
        <v>45441</v>
      </c>
      <c r="C550" s="6">
        <v>45441</v>
      </c>
      <c r="D550" t="s">
        <v>2486</v>
      </c>
      <c r="E550" t="s">
        <v>121</v>
      </c>
      <c r="F550" t="s">
        <v>81</v>
      </c>
      <c r="G550" t="s">
        <v>36</v>
      </c>
      <c r="H550" t="s">
        <v>124</v>
      </c>
      <c r="I550" t="s">
        <v>125</v>
      </c>
      <c r="J550" t="s">
        <v>39</v>
      </c>
      <c r="K550" t="s">
        <v>134</v>
      </c>
      <c r="L550" t="s">
        <v>1225</v>
      </c>
      <c r="M550" t="s">
        <v>42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98</v>
      </c>
      <c r="U550" t="s">
        <v>63</v>
      </c>
      <c r="V550">
        <f t="shared" si="33"/>
        <v>1072.01</v>
      </c>
      <c r="W550">
        <f t="shared" si="34"/>
        <v>219.39</v>
      </c>
      <c r="X550">
        <f t="shared" si="35"/>
        <v>20.46529416703202</v>
      </c>
      <c r="Y550">
        <f t="shared" si="36"/>
        <v>0</v>
      </c>
      <c r="Z550" t="str" cm="1">
        <f t="array" ref="Z550">_xlfn.IFS(Y550&lt;0, "Invalid Date", ISBLANK(G550), "Missing Region", TRUE, "Clean")</f>
        <v>Clean</v>
      </c>
    </row>
    <row r="551" spans="1:26">
      <c r="A551" t="s">
        <v>1226</v>
      </c>
      <c r="B551" s="4">
        <v>45941</v>
      </c>
      <c r="C551" s="6">
        <v>45943</v>
      </c>
      <c r="D551" t="s">
        <v>2487</v>
      </c>
      <c r="E551" t="s">
        <v>34</v>
      </c>
      <c r="F551" t="s">
        <v>81</v>
      </c>
      <c r="G551" t="s">
        <v>50</v>
      </c>
      <c r="H551" t="s">
        <v>51</v>
      </c>
      <c r="I551" t="s">
        <v>52</v>
      </c>
      <c r="J551" t="s">
        <v>27</v>
      </c>
      <c r="K551" t="s">
        <v>45</v>
      </c>
      <c r="L551" t="s">
        <v>1227</v>
      </c>
      <c r="M551" t="s">
        <v>30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31</v>
      </c>
      <c r="U551" t="s">
        <v>32</v>
      </c>
      <c r="V551">
        <f t="shared" si="33"/>
        <v>10271.529</v>
      </c>
      <c r="W551">
        <f t="shared" si="34"/>
        <v>1999.2890000000007</v>
      </c>
      <c r="X551">
        <f t="shared" si="35"/>
        <v>19.464375751652948</v>
      </c>
      <c r="Y551">
        <f t="shared" si="36"/>
        <v>2</v>
      </c>
      <c r="Z551" t="str" cm="1">
        <f t="array" ref="Z551">_xlfn.IFS(Y551&lt;0, "Invalid Date", ISBLANK(G551), "Missing Region", TRUE, "Clean")</f>
        <v>Clean</v>
      </c>
    </row>
    <row r="552" spans="1:26">
      <c r="A552" t="s">
        <v>1228</v>
      </c>
      <c r="B552" s="4">
        <v>45330</v>
      </c>
      <c r="C552" s="6">
        <v>45514</v>
      </c>
      <c r="D552" t="s">
        <v>2488</v>
      </c>
      <c r="E552" t="s">
        <v>34</v>
      </c>
      <c r="F552" t="s">
        <v>85</v>
      </c>
      <c r="G552" t="s">
        <v>36</v>
      </c>
      <c r="H552" t="s">
        <v>37</v>
      </c>
      <c r="I552" t="s">
        <v>38</v>
      </c>
      <c r="J552" t="s">
        <v>68</v>
      </c>
      <c r="K552" t="s">
        <v>69</v>
      </c>
      <c r="L552" t="s">
        <v>1229</v>
      </c>
      <c r="M552" t="s">
        <v>55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31</v>
      </c>
      <c r="U552" t="s">
        <v>32</v>
      </c>
      <c r="V552">
        <f t="shared" si="33"/>
        <v>10206.912</v>
      </c>
      <c r="W552">
        <f t="shared" si="34"/>
        <v>3442.3820000000005</v>
      </c>
      <c r="X552">
        <f t="shared" si="35"/>
        <v>33.725988820125039</v>
      </c>
      <c r="Y552">
        <f t="shared" si="36"/>
        <v>184</v>
      </c>
      <c r="Z552" t="str" cm="1">
        <f t="array" ref="Z552">_xlfn.IFS(Y552&lt;0, "Invalid Date", ISBLANK(G552), "Missing Region", TRUE, "Clean")</f>
        <v>Clean</v>
      </c>
    </row>
    <row r="553" spans="1:26">
      <c r="A553" t="s">
        <v>1230</v>
      </c>
      <c r="B553" s="4">
        <v>45349</v>
      </c>
      <c r="C553" s="6">
        <v>45349</v>
      </c>
      <c r="D553" t="s">
        <v>2489</v>
      </c>
      <c r="E553" t="s">
        <v>114</v>
      </c>
      <c r="F553" t="s">
        <v>23</v>
      </c>
      <c r="G553" t="s">
        <v>36</v>
      </c>
      <c r="H553" t="s">
        <v>186</v>
      </c>
      <c r="I553" t="s">
        <v>187</v>
      </c>
      <c r="J553" t="s">
        <v>39</v>
      </c>
      <c r="K553" t="s">
        <v>61</v>
      </c>
      <c r="L553" t="s">
        <v>1231</v>
      </c>
      <c r="M553" t="s">
        <v>30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31</v>
      </c>
      <c r="U553" t="s">
        <v>32</v>
      </c>
      <c r="V553">
        <f t="shared" si="33"/>
        <v>8027.6295</v>
      </c>
      <c r="W553">
        <f t="shared" si="34"/>
        <v>2531.5394999999999</v>
      </c>
      <c r="X553">
        <f t="shared" si="35"/>
        <v>31.535330572991686</v>
      </c>
      <c r="Y553">
        <f t="shared" si="36"/>
        <v>0</v>
      </c>
      <c r="Z553" t="str" cm="1">
        <f t="array" ref="Z553">_xlfn.IFS(Y553&lt;0, "Invalid Date", ISBLANK(G553), "Missing Region", TRUE, "Clean")</f>
        <v>Clean</v>
      </c>
    </row>
    <row r="554" spans="1:26">
      <c r="A554" t="s">
        <v>1232</v>
      </c>
      <c r="B554" s="4">
        <v>45681</v>
      </c>
      <c r="C554" s="6">
        <v>45687</v>
      </c>
      <c r="D554" t="s">
        <v>2490</v>
      </c>
      <c r="E554" t="s">
        <v>57</v>
      </c>
      <c r="F554" t="s">
        <v>81</v>
      </c>
      <c r="G554" t="s">
        <v>36</v>
      </c>
      <c r="H554" t="s">
        <v>88</v>
      </c>
      <c r="I554" t="s">
        <v>89</v>
      </c>
      <c r="J554" t="s">
        <v>68</v>
      </c>
      <c r="K554" t="s">
        <v>73</v>
      </c>
      <c r="L554" t="s">
        <v>1233</v>
      </c>
      <c r="M554" t="s">
        <v>55</v>
      </c>
      <c r="N554">
        <v>8</v>
      </c>
      <c r="O554">
        <v>312.52999999999997</v>
      </c>
      <c r="P554" t="s">
        <v>347</v>
      </c>
      <c r="Q554">
        <v>1875.18</v>
      </c>
      <c r="R554">
        <v>1579.17</v>
      </c>
      <c r="S554">
        <v>296.01</v>
      </c>
      <c r="T554" t="s">
        <v>31</v>
      </c>
      <c r="U554" t="s">
        <v>32</v>
      </c>
      <c r="V554">
        <f t="shared" si="33"/>
        <v>750.072</v>
      </c>
      <c r="W554">
        <f t="shared" si="34"/>
        <v>-829.09800000000007</v>
      </c>
      <c r="X554">
        <f t="shared" si="35"/>
        <v>-110.53578856429785</v>
      </c>
      <c r="Y554">
        <f t="shared" si="36"/>
        <v>6</v>
      </c>
      <c r="Z554" t="str" cm="1">
        <f t="array" ref="Z554">_xlfn.IFS(Y554&lt;0, "Invalid Date", ISBLANK(G554), "Missing Region", TRUE, "Clean")</f>
        <v>Clean</v>
      </c>
    </row>
    <row r="555" spans="1:26">
      <c r="A555" t="s">
        <v>1234</v>
      </c>
      <c r="B555" s="4">
        <v>45772</v>
      </c>
      <c r="C555" s="6">
        <v>45775</v>
      </c>
      <c r="D555" t="s">
        <v>2491</v>
      </c>
      <c r="E555" t="s">
        <v>111</v>
      </c>
      <c r="F555" t="s">
        <v>35</v>
      </c>
      <c r="G555" t="s">
        <v>58</v>
      </c>
      <c r="H555" t="s">
        <v>151</v>
      </c>
      <c r="I555" t="s">
        <v>152</v>
      </c>
      <c r="J555" t="s">
        <v>27</v>
      </c>
      <c r="K555" t="s">
        <v>108</v>
      </c>
      <c r="L555" t="s">
        <v>1235</v>
      </c>
      <c r="M555" t="s">
        <v>47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31</v>
      </c>
      <c r="U555" t="s">
        <v>32</v>
      </c>
      <c r="V555">
        <f t="shared" si="33"/>
        <v>8735.2425000000003</v>
      </c>
      <c r="W555">
        <f t="shared" si="34"/>
        <v>2115.1725000000006</v>
      </c>
      <c r="X555">
        <f t="shared" si="35"/>
        <v>24.21423904373577</v>
      </c>
      <c r="Y555">
        <f t="shared" si="36"/>
        <v>3</v>
      </c>
      <c r="Z555" t="str" cm="1">
        <f t="array" ref="Z555">_xlfn.IFS(Y555&lt;0, "Invalid Date", ISBLANK(G555), "Missing Region", TRUE, "Clean")</f>
        <v>Clean</v>
      </c>
    </row>
    <row r="556" spans="1:26">
      <c r="A556" t="s">
        <v>1236</v>
      </c>
      <c r="B556" s="4">
        <v>45636</v>
      </c>
      <c r="C556" s="6">
        <v>45582</v>
      </c>
      <c r="D556" t="s">
        <v>2492</v>
      </c>
      <c r="E556" t="s">
        <v>49</v>
      </c>
      <c r="F556" t="s">
        <v>23</v>
      </c>
      <c r="G556" t="s">
        <v>2806</v>
      </c>
      <c r="H556" t="s">
        <v>186</v>
      </c>
      <c r="I556" t="s">
        <v>187</v>
      </c>
      <c r="J556" t="s">
        <v>39</v>
      </c>
      <c r="K556" t="s">
        <v>53</v>
      </c>
      <c r="L556" t="s">
        <v>1237</v>
      </c>
      <c r="M556" t="s">
        <v>55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31</v>
      </c>
      <c r="U556" t="s">
        <v>32</v>
      </c>
      <c r="V556">
        <f t="shared" si="33"/>
        <v>4070.636</v>
      </c>
      <c r="W556">
        <f t="shared" si="34"/>
        <v>1239.0160000000001</v>
      </c>
      <c r="X556">
        <f t="shared" si="35"/>
        <v>30.43789717380773</v>
      </c>
      <c r="Y556">
        <f t="shared" si="36"/>
        <v>-54</v>
      </c>
      <c r="Z556" t="str" cm="1">
        <f t="array" ref="Z556">_xlfn.IFS(Y556&lt;0, "Invalid Date", ISBLANK(G556), "Missing Region", TRUE, "Clean")</f>
        <v>Invalid Date</v>
      </c>
    </row>
    <row r="557" spans="1:26">
      <c r="A557" t="s">
        <v>1238</v>
      </c>
      <c r="B557" s="4">
        <v>45749</v>
      </c>
      <c r="C557" s="6">
        <v>45932</v>
      </c>
      <c r="D557" t="s">
        <v>2493</v>
      </c>
      <c r="E557" t="s">
        <v>57</v>
      </c>
      <c r="F557" t="s">
        <v>35</v>
      </c>
      <c r="G557" t="s">
        <v>50</v>
      </c>
      <c r="H557" t="s">
        <v>51</v>
      </c>
      <c r="I557" t="s">
        <v>52</v>
      </c>
      <c r="J557" t="s">
        <v>27</v>
      </c>
      <c r="K557" t="s">
        <v>108</v>
      </c>
      <c r="L557" t="s">
        <v>1239</v>
      </c>
      <c r="M557" t="s">
        <v>55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31</v>
      </c>
      <c r="U557" t="s">
        <v>32</v>
      </c>
      <c r="V557">
        <f t="shared" si="33"/>
        <v>5943.9599999999991</v>
      </c>
      <c r="W557">
        <f t="shared" si="34"/>
        <v>2339.8199999999993</v>
      </c>
      <c r="X557">
        <f t="shared" si="35"/>
        <v>39.36466598025558</v>
      </c>
      <c r="Y557">
        <f t="shared" si="36"/>
        <v>183</v>
      </c>
      <c r="Z557" t="str" cm="1">
        <f t="array" ref="Z557">_xlfn.IFS(Y557&lt;0, "Invalid Date", ISBLANK(G557), "Missing Region", TRUE, "Clean")</f>
        <v>Clean</v>
      </c>
    </row>
    <row r="558" spans="1:26">
      <c r="A558" t="s">
        <v>1240</v>
      </c>
      <c r="B558" s="4">
        <v>45466</v>
      </c>
      <c r="C558" s="6">
        <v>45472</v>
      </c>
      <c r="D558" t="s">
        <v>2494</v>
      </c>
      <c r="E558" t="s">
        <v>72</v>
      </c>
      <c r="F558" t="s">
        <v>23</v>
      </c>
      <c r="G558" t="s">
        <v>24</v>
      </c>
      <c r="H558" t="s">
        <v>192</v>
      </c>
      <c r="I558" t="s">
        <v>193</v>
      </c>
      <c r="J558" t="s">
        <v>39</v>
      </c>
      <c r="K558" t="s">
        <v>40</v>
      </c>
      <c r="L558" t="s">
        <v>1241</v>
      </c>
      <c r="M558" t="s">
        <v>47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31</v>
      </c>
      <c r="U558" t="s">
        <v>92</v>
      </c>
      <c r="V558">
        <f t="shared" si="33"/>
        <v>4426.66</v>
      </c>
      <c r="W558">
        <f t="shared" si="34"/>
        <v>1391.46</v>
      </c>
      <c r="X558">
        <f t="shared" si="35"/>
        <v>31.433631677156143</v>
      </c>
      <c r="Y558">
        <f t="shared" si="36"/>
        <v>6</v>
      </c>
      <c r="Z558" t="str" cm="1">
        <f t="array" ref="Z558">_xlfn.IFS(Y558&lt;0, "Invalid Date", ISBLANK(G558), "Missing Region", TRUE, "Clean")</f>
        <v>Clean</v>
      </c>
    </row>
    <row r="559" spans="1:26">
      <c r="A559" t="s">
        <v>1242</v>
      </c>
      <c r="B559" s="4">
        <v>45509</v>
      </c>
      <c r="C559" s="6">
        <v>45426</v>
      </c>
      <c r="D559" t="s">
        <v>2495</v>
      </c>
      <c r="E559" t="s">
        <v>65</v>
      </c>
      <c r="F559" t="s">
        <v>85</v>
      </c>
      <c r="G559" t="s">
        <v>24</v>
      </c>
      <c r="H559" t="s">
        <v>192</v>
      </c>
      <c r="I559" t="s">
        <v>193</v>
      </c>
      <c r="J559" t="s">
        <v>68</v>
      </c>
      <c r="K559" t="s">
        <v>144</v>
      </c>
      <c r="L559" t="s">
        <v>1243</v>
      </c>
      <c r="M559" t="s">
        <v>47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31</v>
      </c>
      <c r="U559" t="s">
        <v>63</v>
      </c>
      <c r="V559">
        <f t="shared" si="33"/>
        <v>32228.882999999998</v>
      </c>
      <c r="W559">
        <f t="shared" si="34"/>
        <v>7257.5229999999974</v>
      </c>
      <c r="X559">
        <f t="shared" si="35"/>
        <v>22.518692317074713</v>
      </c>
      <c r="Y559">
        <f t="shared" si="36"/>
        <v>-83</v>
      </c>
      <c r="Z559" t="str" cm="1">
        <f t="array" ref="Z559">_xlfn.IFS(Y559&lt;0, "Invalid Date", ISBLANK(G559), "Missing Region", TRUE, "Clean")</f>
        <v>Invalid Date</v>
      </c>
    </row>
    <row r="560" spans="1:26">
      <c r="A560" t="s">
        <v>1244</v>
      </c>
      <c r="B560" s="4">
        <v>45756</v>
      </c>
      <c r="C560" s="6">
        <v>45904</v>
      </c>
      <c r="D560" t="s">
        <v>2496</v>
      </c>
      <c r="E560" t="s">
        <v>80</v>
      </c>
      <c r="F560" t="s">
        <v>81</v>
      </c>
      <c r="G560" t="s">
        <v>24</v>
      </c>
      <c r="H560" t="s">
        <v>106</v>
      </c>
      <c r="I560" t="s">
        <v>107</v>
      </c>
      <c r="J560" t="s">
        <v>68</v>
      </c>
      <c r="K560" t="s">
        <v>219</v>
      </c>
      <c r="L560" t="s">
        <v>1245</v>
      </c>
      <c r="M560" t="s">
        <v>47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31</v>
      </c>
      <c r="U560" t="s">
        <v>32</v>
      </c>
      <c r="V560">
        <f t="shared" si="33"/>
        <v>19711.68</v>
      </c>
      <c r="W560">
        <f t="shared" si="34"/>
        <v>5249.880000000001</v>
      </c>
      <c r="X560">
        <f t="shared" si="35"/>
        <v>26.633346320557155</v>
      </c>
      <c r="Y560">
        <f t="shared" si="36"/>
        <v>148</v>
      </c>
      <c r="Z560" t="str" cm="1">
        <f t="array" ref="Z560">_xlfn.IFS(Y560&lt;0, "Invalid Date", ISBLANK(G560), "Missing Region", TRUE, "Clean")</f>
        <v>Clean</v>
      </c>
    </row>
    <row r="561" spans="1:26">
      <c r="A561" t="s">
        <v>1246</v>
      </c>
      <c r="B561" s="4">
        <v>45930</v>
      </c>
      <c r="C561" s="6">
        <v>45848</v>
      </c>
      <c r="D561" t="s">
        <v>2497</v>
      </c>
      <c r="E561" t="s">
        <v>137</v>
      </c>
      <c r="F561" t="s">
        <v>81</v>
      </c>
      <c r="G561" t="s">
        <v>36</v>
      </c>
      <c r="H561" t="s">
        <v>124</v>
      </c>
      <c r="I561" t="s">
        <v>125</v>
      </c>
      <c r="J561" t="s">
        <v>68</v>
      </c>
      <c r="K561" t="s">
        <v>73</v>
      </c>
      <c r="L561" t="s">
        <v>1247</v>
      </c>
      <c r="M561" t="s">
        <v>30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31</v>
      </c>
      <c r="U561" t="s">
        <v>92</v>
      </c>
      <c r="V561">
        <f t="shared" si="33"/>
        <v>14750.190000000002</v>
      </c>
      <c r="W561">
        <f t="shared" si="34"/>
        <v>5267.6100000000024</v>
      </c>
      <c r="X561">
        <f t="shared" si="35"/>
        <v>35.712150148574366</v>
      </c>
      <c r="Y561">
        <f t="shared" si="36"/>
        <v>-82</v>
      </c>
      <c r="Z561" t="str" cm="1">
        <f t="array" ref="Z561">_xlfn.IFS(Y561&lt;0, "Invalid Date", ISBLANK(G561), "Missing Region", TRUE, "Clean")</f>
        <v>Invalid Date</v>
      </c>
    </row>
    <row r="562" spans="1:26">
      <c r="A562" t="s">
        <v>1248</v>
      </c>
      <c r="B562" s="4">
        <v>45307</v>
      </c>
      <c r="C562" s="6">
        <v>45313</v>
      </c>
      <c r="D562" t="s">
        <v>2498</v>
      </c>
      <c r="E562" t="s">
        <v>49</v>
      </c>
      <c r="F562" t="s">
        <v>23</v>
      </c>
      <c r="G562" t="s">
        <v>58</v>
      </c>
      <c r="H562" t="s">
        <v>159</v>
      </c>
      <c r="I562" t="s">
        <v>160</v>
      </c>
      <c r="J562" t="s">
        <v>27</v>
      </c>
      <c r="K562" t="s">
        <v>108</v>
      </c>
      <c r="L562" t="s">
        <v>1249</v>
      </c>
      <c r="M562" t="s">
        <v>55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31</v>
      </c>
      <c r="U562" t="s">
        <v>63</v>
      </c>
      <c r="V562">
        <f t="shared" si="33"/>
        <v>1130.1199999999999</v>
      </c>
      <c r="W562">
        <f t="shared" si="34"/>
        <v>281.49999999999989</v>
      </c>
      <c r="X562">
        <f t="shared" si="35"/>
        <v>24.9088592361873</v>
      </c>
      <c r="Y562">
        <f t="shared" si="36"/>
        <v>6</v>
      </c>
      <c r="Z562" t="str" cm="1">
        <f t="array" ref="Z562">_xlfn.IFS(Y562&lt;0, "Invalid Date", ISBLANK(G562), "Missing Region", TRUE, "Clean")</f>
        <v>Clean</v>
      </c>
    </row>
    <row r="563" spans="1:26">
      <c r="A563" t="s">
        <v>1250</v>
      </c>
      <c r="B563" s="4">
        <v>45852</v>
      </c>
      <c r="C563" s="6">
        <v>45856</v>
      </c>
      <c r="D563" t="s">
        <v>2499</v>
      </c>
      <c r="E563" t="s">
        <v>80</v>
      </c>
      <c r="F563" t="s">
        <v>23</v>
      </c>
      <c r="G563" t="s">
        <v>24</v>
      </c>
      <c r="H563" t="s">
        <v>106</v>
      </c>
      <c r="I563" t="s">
        <v>107</v>
      </c>
      <c r="J563" t="s">
        <v>68</v>
      </c>
      <c r="K563" t="s">
        <v>73</v>
      </c>
      <c r="L563" t="s">
        <v>1251</v>
      </c>
      <c r="M563" t="s">
        <v>47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98</v>
      </c>
      <c r="U563" t="s">
        <v>92</v>
      </c>
      <c r="V563">
        <f t="shared" si="33"/>
        <v>2900.88</v>
      </c>
      <c r="W563">
        <f t="shared" si="34"/>
        <v>509.0300000000002</v>
      </c>
      <c r="X563">
        <f t="shared" si="35"/>
        <v>17.547433882132324</v>
      </c>
      <c r="Y563">
        <f t="shared" si="36"/>
        <v>4</v>
      </c>
      <c r="Z563" t="str" cm="1">
        <f t="array" ref="Z563">_xlfn.IFS(Y563&lt;0, "Invalid Date", ISBLANK(G563), "Missing Region", TRUE, "Clean")</f>
        <v>Clean</v>
      </c>
    </row>
    <row r="564" spans="1:26">
      <c r="A564" t="s">
        <v>1252</v>
      </c>
      <c r="B564" s="4">
        <v>45570</v>
      </c>
      <c r="C564" s="6">
        <v>45428</v>
      </c>
      <c r="D564" t="s">
        <v>2500</v>
      </c>
      <c r="E564" t="s">
        <v>22</v>
      </c>
      <c r="F564" t="s">
        <v>23</v>
      </c>
      <c r="G564" t="s">
        <v>24</v>
      </c>
      <c r="H564" t="s">
        <v>106</v>
      </c>
      <c r="I564" t="s">
        <v>107</v>
      </c>
      <c r="J564" t="s">
        <v>27</v>
      </c>
      <c r="K564" t="s">
        <v>130</v>
      </c>
      <c r="L564" t="s">
        <v>1253</v>
      </c>
      <c r="M564" t="s">
        <v>42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132</v>
      </c>
      <c r="U564" t="s">
        <v>92</v>
      </c>
      <c r="V564">
        <f t="shared" si="33"/>
        <v>680.62400000000014</v>
      </c>
      <c r="W564">
        <f t="shared" si="34"/>
        <v>217.13400000000013</v>
      </c>
      <c r="X564">
        <f t="shared" si="35"/>
        <v>31.902195632243362</v>
      </c>
      <c r="Y564">
        <f t="shared" si="36"/>
        <v>-142</v>
      </c>
      <c r="Z564" t="str" cm="1">
        <f t="array" ref="Z564">_xlfn.IFS(Y564&lt;0, "Invalid Date", ISBLANK(G564), "Missing Region", TRUE, "Clean")</f>
        <v>Invalid Date</v>
      </c>
    </row>
    <row r="565" spans="1:26">
      <c r="A565" t="s">
        <v>1254</v>
      </c>
      <c r="B565" s="4">
        <v>45418</v>
      </c>
      <c r="C565" s="6">
        <v>45631</v>
      </c>
      <c r="D565" t="s">
        <v>2501</v>
      </c>
      <c r="E565" t="s">
        <v>49</v>
      </c>
      <c r="F565" t="s">
        <v>81</v>
      </c>
      <c r="G565" t="s">
        <v>58</v>
      </c>
      <c r="H565" t="s">
        <v>159</v>
      </c>
      <c r="I565" t="s">
        <v>160</v>
      </c>
      <c r="J565" t="s">
        <v>39</v>
      </c>
      <c r="K565" t="s">
        <v>40</v>
      </c>
      <c r="L565" t="s">
        <v>1255</v>
      </c>
      <c r="M565" t="s">
        <v>55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98</v>
      </c>
      <c r="U565" t="s">
        <v>63</v>
      </c>
      <c r="V565">
        <f t="shared" si="33"/>
        <v>5694.9840000000004</v>
      </c>
      <c r="W565">
        <f t="shared" si="34"/>
        <v>1076.6540000000005</v>
      </c>
      <c r="X565">
        <f t="shared" si="35"/>
        <v>18.905303333600241</v>
      </c>
      <c r="Y565">
        <f t="shared" si="36"/>
        <v>213</v>
      </c>
      <c r="Z565" t="str" cm="1">
        <f t="array" ref="Z565">_xlfn.IFS(Y565&lt;0, "Invalid Date", ISBLANK(G565), "Missing Region", TRUE, "Clean")</f>
        <v>Clean</v>
      </c>
    </row>
    <row r="566" spans="1:26">
      <c r="A566" t="s">
        <v>1256</v>
      </c>
      <c r="B566" s="4">
        <v>45606</v>
      </c>
      <c r="C566" s="6">
        <v>45610</v>
      </c>
      <c r="D566" t="s">
        <v>2502</v>
      </c>
      <c r="E566" t="s">
        <v>114</v>
      </c>
      <c r="F566" t="s">
        <v>81</v>
      </c>
      <c r="G566" t="s">
        <v>50</v>
      </c>
      <c r="H566" t="s">
        <v>76</v>
      </c>
      <c r="I566" t="s">
        <v>77</v>
      </c>
      <c r="J566" t="s">
        <v>39</v>
      </c>
      <c r="K566" t="s">
        <v>40</v>
      </c>
      <c r="L566" t="s">
        <v>1257</v>
      </c>
      <c r="M566" t="s">
        <v>47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31</v>
      </c>
      <c r="U566" t="s">
        <v>32</v>
      </c>
      <c r="V566">
        <f t="shared" si="33"/>
        <v>1474.1440000000002</v>
      </c>
      <c r="W566">
        <f t="shared" si="34"/>
        <v>505.6840000000002</v>
      </c>
      <c r="X566">
        <f t="shared" si="35"/>
        <v>34.303568715132315</v>
      </c>
      <c r="Y566">
        <f t="shared" si="36"/>
        <v>4</v>
      </c>
      <c r="Z566" t="str" cm="1">
        <f t="array" ref="Z566">_xlfn.IFS(Y566&lt;0, "Invalid Date", ISBLANK(G566), "Missing Region", TRUE, "Clean")</f>
        <v>Clean</v>
      </c>
    </row>
    <row r="567" spans="1:26">
      <c r="A567" t="s">
        <v>1258</v>
      </c>
      <c r="B567" s="4">
        <v>45846</v>
      </c>
      <c r="C567" s="6">
        <v>45882</v>
      </c>
      <c r="D567" t="s">
        <v>2503</v>
      </c>
      <c r="E567" t="s">
        <v>34</v>
      </c>
      <c r="F567" t="s">
        <v>81</v>
      </c>
      <c r="G567" t="s">
        <v>24</v>
      </c>
      <c r="H567" t="s">
        <v>270</v>
      </c>
      <c r="I567" t="s">
        <v>271</v>
      </c>
      <c r="J567" t="s">
        <v>68</v>
      </c>
      <c r="K567" t="s">
        <v>144</v>
      </c>
      <c r="L567" t="s">
        <v>1259</v>
      </c>
      <c r="M567" t="s">
        <v>55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91</v>
      </c>
      <c r="U567" t="s">
        <v>63</v>
      </c>
      <c r="V567">
        <f t="shared" si="33"/>
        <v>9224.9279999999999</v>
      </c>
      <c r="W567">
        <f t="shared" si="34"/>
        <v>2219.7280000000001</v>
      </c>
      <c r="X567">
        <f t="shared" si="35"/>
        <v>24.062279944081951</v>
      </c>
      <c r="Y567">
        <f t="shared" si="36"/>
        <v>36</v>
      </c>
      <c r="Z567" t="str" cm="1">
        <f t="array" ref="Z567">_xlfn.IFS(Y567&lt;0, "Invalid Date", ISBLANK(G567), "Missing Region", TRUE, "Clean")</f>
        <v>Clean</v>
      </c>
    </row>
    <row r="568" spans="1:26">
      <c r="A568" t="s">
        <v>1260</v>
      </c>
      <c r="B568" s="4">
        <v>45604</v>
      </c>
      <c r="C568" s="6">
        <v>45523</v>
      </c>
      <c r="D568" t="s">
        <v>2504</v>
      </c>
      <c r="E568" t="s">
        <v>114</v>
      </c>
      <c r="F568" t="s">
        <v>35</v>
      </c>
      <c r="G568" t="s">
        <v>58</v>
      </c>
      <c r="H568" t="s">
        <v>59</v>
      </c>
      <c r="I568" t="s">
        <v>60</v>
      </c>
      <c r="J568" t="s">
        <v>27</v>
      </c>
      <c r="K568" t="s">
        <v>28</v>
      </c>
      <c r="L568" t="s">
        <v>1261</v>
      </c>
      <c r="M568" t="s">
        <v>42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132</v>
      </c>
      <c r="U568" t="s">
        <v>92</v>
      </c>
      <c r="V568">
        <f t="shared" si="33"/>
        <v>4712.2020000000002</v>
      </c>
      <c r="W568">
        <f t="shared" si="34"/>
        <v>860.29200000000037</v>
      </c>
      <c r="X568">
        <f t="shared" si="35"/>
        <v>18.256687637754077</v>
      </c>
      <c r="Y568">
        <f t="shared" si="36"/>
        <v>-81</v>
      </c>
      <c r="Z568" t="str" cm="1">
        <f t="array" ref="Z568">_xlfn.IFS(Y568&lt;0, "Invalid Date", ISBLANK(G568), "Missing Region", TRUE, "Clean")</f>
        <v>Invalid Date</v>
      </c>
    </row>
    <row r="569" spans="1:26">
      <c r="A569" t="s">
        <v>1262</v>
      </c>
      <c r="B569" s="4">
        <v>45445</v>
      </c>
      <c r="C569" s="6">
        <v>45567</v>
      </c>
      <c r="D569" t="s">
        <v>2505</v>
      </c>
      <c r="E569" t="s">
        <v>49</v>
      </c>
      <c r="F569" t="s">
        <v>85</v>
      </c>
      <c r="G569" t="s">
        <v>24</v>
      </c>
      <c r="H569" t="s">
        <v>117</v>
      </c>
      <c r="I569" t="s">
        <v>118</v>
      </c>
      <c r="J569" t="s">
        <v>39</v>
      </c>
      <c r="K569" t="s">
        <v>53</v>
      </c>
      <c r="L569" t="s">
        <v>438</v>
      </c>
      <c r="M569" t="s">
        <v>42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31</v>
      </c>
      <c r="U569" t="s">
        <v>32</v>
      </c>
      <c r="V569">
        <f t="shared" si="33"/>
        <v>1305.357</v>
      </c>
      <c r="W569">
        <f t="shared" si="34"/>
        <v>573.46699999999998</v>
      </c>
      <c r="X569">
        <f t="shared" si="35"/>
        <v>43.931813289391329</v>
      </c>
      <c r="Y569">
        <f t="shared" si="36"/>
        <v>122</v>
      </c>
      <c r="Z569" t="str" cm="1">
        <f t="array" ref="Z569">_xlfn.IFS(Y569&lt;0, "Invalid Date", ISBLANK(G569), "Missing Region", TRUE, "Clean")</f>
        <v>Clean</v>
      </c>
    </row>
    <row r="570" spans="1:26">
      <c r="A570" t="s">
        <v>1263</v>
      </c>
      <c r="B570" s="4">
        <v>45312</v>
      </c>
      <c r="C570" s="6">
        <v>45315</v>
      </c>
      <c r="D570" t="s">
        <v>2506</v>
      </c>
      <c r="E570" t="s">
        <v>212</v>
      </c>
      <c r="F570" t="s">
        <v>81</v>
      </c>
      <c r="G570" t="s">
        <v>24</v>
      </c>
      <c r="H570" t="s">
        <v>106</v>
      </c>
      <c r="I570" t="s">
        <v>107</v>
      </c>
      <c r="J570" t="s">
        <v>68</v>
      </c>
      <c r="K570" t="s">
        <v>219</v>
      </c>
      <c r="L570" t="s">
        <v>1264</v>
      </c>
      <c r="M570" t="s">
        <v>42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31</v>
      </c>
      <c r="U570" t="s">
        <v>32</v>
      </c>
      <c r="V570">
        <f t="shared" si="33"/>
        <v>2854.7250000000004</v>
      </c>
      <c r="W570">
        <f t="shared" si="34"/>
        <v>886.60500000000047</v>
      </c>
      <c r="X570">
        <f t="shared" si="35"/>
        <v>31.057457373302171</v>
      </c>
      <c r="Y570">
        <f t="shared" si="36"/>
        <v>3</v>
      </c>
      <c r="Z570" t="str" cm="1">
        <f t="array" ref="Z570">_xlfn.IFS(Y570&lt;0, "Invalid Date", ISBLANK(G570), "Missing Region", TRUE, "Clean")</f>
        <v>Clean</v>
      </c>
    </row>
    <row r="571" spans="1:26">
      <c r="A571" t="s">
        <v>1265</v>
      </c>
      <c r="B571" s="4">
        <v>45908</v>
      </c>
      <c r="C571" s="6">
        <v>45939</v>
      </c>
      <c r="D571" t="s">
        <v>2507</v>
      </c>
      <c r="E571" t="s">
        <v>103</v>
      </c>
      <c r="F571" t="s">
        <v>85</v>
      </c>
      <c r="G571" t="s">
        <v>58</v>
      </c>
      <c r="H571" t="s">
        <v>59</v>
      </c>
      <c r="I571" t="s">
        <v>60</v>
      </c>
      <c r="J571" t="s">
        <v>39</v>
      </c>
      <c r="K571" t="s">
        <v>53</v>
      </c>
      <c r="L571" t="s">
        <v>1266</v>
      </c>
      <c r="M571" t="s">
        <v>55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91</v>
      </c>
      <c r="U571" t="s">
        <v>92</v>
      </c>
      <c r="V571">
        <f t="shared" si="33"/>
        <v>14630.264999999999</v>
      </c>
      <c r="W571">
        <f t="shared" si="34"/>
        <v>2723.9049999999988</v>
      </c>
      <c r="X571">
        <f t="shared" si="35"/>
        <v>18.618288868998604</v>
      </c>
      <c r="Y571">
        <f t="shared" si="36"/>
        <v>31</v>
      </c>
      <c r="Z571" t="str" cm="1">
        <f t="array" ref="Z571">_xlfn.IFS(Y571&lt;0, "Invalid Date", ISBLANK(G571), "Missing Region", TRUE, "Clean")</f>
        <v>Clean</v>
      </c>
    </row>
    <row r="572" spans="1:26">
      <c r="A572" t="s">
        <v>1267</v>
      </c>
      <c r="B572" s="4">
        <v>45887</v>
      </c>
      <c r="C572" s="6">
        <v>45891</v>
      </c>
      <c r="D572" t="s">
        <v>2508</v>
      </c>
      <c r="E572" t="s">
        <v>49</v>
      </c>
      <c r="F572" t="s">
        <v>23</v>
      </c>
      <c r="G572" t="s">
        <v>36</v>
      </c>
      <c r="H572" t="s">
        <v>186</v>
      </c>
      <c r="I572" t="s">
        <v>187</v>
      </c>
      <c r="J572" t="s">
        <v>39</v>
      </c>
      <c r="K572" t="s">
        <v>53</v>
      </c>
      <c r="L572" t="s">
        <v>1268</v>
      </c>
      <c r="M572" t="s">
        <v>30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132</v>
      </c>
      <c r="U572" t="s">
        <v>92</v>
      </c>
      <c r="V572">
        <f t="shared" si="33"/>
        <v>8879.49</v>
      </c>
      <c r="W572">
        <f t="shared" si="34"/>
        <v>2534.92</v>
      </c>
      <c r="X572">
        <f t="shared" si="35"/>
        <v>28.548035979543872</v>
      </c>
      <c r="Y572">
        <f t="shared" si="36"/>
        <v>4</v>
      </c>
      <c r="Z572" t="str" cm="1">
        <f t="array" ref="Z572">_xlfn.IFS(Y572&lt;0, "Invalid Date", ISBLANK(G572), "Missing Region", TRUE, "Clean")</f>
        <v>Clean</v>
      </c>
    </row>
    <row r="573" spans="1:26">
      <c r="A573" t="s">
        <v>1269</v>
      </c>
      <c r="B573" s="4">
        <v>45932</v>
      </c>
      <c r="C573" s="6">
        <v>45702</v>
      </c>
      <c r="D573" t="s">
        <v>2509</v>
      </c>
      <c r="E573" t="s">
        <v>100</v>
      </c>
      <c r="F573" t="s">
        <v>35</v>
      </c>
      <c r="G573" t="s">
        <v>24</v>
      </c>
      <c r="H573" t="s">
        <v>117</v>
      </c>
      <c r="I573" t="s">
        <v>118</v>
      </c>
      <c r="J573" t="s">
        <v>68</v>
      </c>
      <c r="K573" t="s">
        <v>144</v>
      </c>
      <c r="L573" t="s">
        <v>1270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132</v>
      </c>
      <c r="U573" t="s">
        <v>92</v>
      </c>
      <c r="V573">
        <f t="shared" si="33"/>
        <v>21381.45</v>
      </c>
      <c r="W573">
        <f t="shared" si="34"/>
        <v>8141.2400000000016</v>
      </c>
      <c r="X573">
        <f t="shared" si="35"/>
        <v>38.076182859441246</v>
      </c>
      <c r="Y573">
        <f t="shared" si="36"/>
        <v>-230</v>
      </c>
      <c r="Z573" t="str" cm="1">
        <f t="array" ref="Z573">_xlfn.IFS(Y573&lt;0, "Invalid Date", ISBLANK(G573), "Missing Region", TRUE, "Clean")</f>
        <v>Invalid Date</v>
      </c>
    </row>
    <row r="574" spans="1:26">
      <c r="A574" t="s">
        <v>1271</v>
      </c>
      <c r="B574" s="4">
        <v>45293</v>
      </c>
      <c r="C574" s="6">
        <v>45536</v>
      </c>
      <c r="D574" t="s">
        <v>2510</v>
      </c>
      <c r="E574" t="s">
        <v>137</v>
      </c>
      <c r="F574" t="s">
        <v>81</v>
      </c>
      <c r="G574" t="s">
        <v>24</v>
      </c>
      <c r="H574" t="s">
        <v>270</v>
      </c>
      <c r="I574" t="s">
        <v>271</v>
      </c>
      <c r="J574" t="s">
        <v>68</v>
      </c>
      <c r="K574" t="s">
        <v>144</v>
      </c>
      <c r="L574" t="s">
        <v>1272</v>
      </c>
      <c r="M574" t="s">
        <v>55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31</v>
      </c>
      <c r="U574" t="s">
        <v>32</v>
      </c>
      <c r="V574">
        <f t="shared" si="33"/>
        <v>1774.944</v>
      </c>
      <c r="W574">
        <f t="shared" si="34"/>
        <v>767.54399999999998</v>
      </c>
      <c r="X574">
        <f t="shared" si="35"/>
        <v>43.24327978798204</v>
      </c>
      <c r="Y574">
        <f t="shared" si="36"/>
        <v>243</v>
      </c>
      <c r="Z574" t="str" cm="1">
        <f t="array" ref="Z574">_xlfn.IFS(Y574&lt;0, "Invalid Date", ISBLANK(G574), "Missing Region", TRUE, "Clean")</f>
        <v>Clean</v>
      </c>
    </row>
    <row r="575" spans="1:26">
      <c r="A575" t="s">
        <v>1273</v>
      </c>
      <c r="B575" s="4">
        <v>45922</v>
      </c>
      <c r="C575" s="6">
        <v>45926</v>
      </c>
      <c r="D575" t="s">
        <v>2178</v>
      </c>
      <c r="E575" t="s">
        <v>44</v>
      </c>
      <c r="F575" t="s">
        <v>23</v>
      </c>
      <c r="G575" t="s">
        <v>50</v>
      </c>
      <c r="H575" t="s">
        <v>76</v>
      </c>
      <c r="I575" t="s">
        <v>77</v>
      </c>
      <c r="J575" t="s">
        <v>68</v>
      </c>
      <c r="K575" t="s">
        <v>144</v>
      </c>
      <c r="L575" t="s">
        <v>1274</v>
      </c>
      <c r="M575" t="s">
        <v>55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31</v>
      </c>
      <c r="U575" t="s">
        <v>32</v>
      </c>
      <c r="V575">
        <f t="shared" si="33"/>
        <v>573.65</v>
      </c>
      <c r="W575">
        <f t="shared" si="34"/>
        <v>250.97999999999996</v>
      </c>
      <c r="X575">
        <f t="shared" si="35"/>
        <v>43.751416368866032</v>
      </c>
      <c r="Y575">
        <f t="shared" si="36"/>
        <v>4</v>
      </c>
      <c r="Z575" t="str" cm="1">
        <f t="array" ref="Z575">_xlfn.IFS(Y575&lt;0, "Invalid Date", ISBLANK(G575), "Missing Region", TRUE, "Clean")</f>
        <v>Clean</v>
      </c>
    </row>
    <row r="576" spans="1:26">
      <c r="A576" t="s">
        <v>1275</v>
      </c>
      <c r="B576" s="4">
        <v>45342</v>
      </c>
      <c r="C576" s="6">
        <v>45347</v>
      </c>
      <c r="D576" t="s">
        <v>2511</v>
      </c>
      <c r="E576" t="s">
        <v>137</v>
      </c>
      <c r="F576" t="s">
        <v>85</v>
      </c>
      <c r="G576" t="s">
        <v>24</v>
      </c>
      <c r="H576" t="s">
        <v>106</v>
      </c>
      <c r="I576" t="s">
        <v>107</v>
      </c>
      <c r="J576" t="s">
        <v>68</v>
      </c>
      <c r="K576" t="s">
        <v>219</v>
      </c>
      <c r="L576" t="s">
        <v>1276</v>
      </c>
      <c r="M576" t="s">
        <v>55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31</v>
      </c>
      <c r="U576" t="s">
        <v>32</v>
      </c>
      <c r="V576">
        <f t="shared" si="33"/>
        <v>5423.2</v>
      </c>
      <c r="W576">
        <f t="shared" si="34"/>
        <v>1350.7599999999998</v>
      </c>
      <c r="X576">
        <f t="shared" si="35"/>
        <v>24.907065938929044</v>
      </c>
      <c r="Y576">
        <f t="shared" si="36"/>
        <v>5</v>
      </c>
      <c r="Z576" t="str" cm="1">
        <f t="array" ref="Z576">_xlfn.IFS(Y576&lt;0, "Invalid Date", ISBLANK(G576), "Missing Region", TRUE, "Clean")</f>
        <v>Clean</v>
      </c>
    </row>
    <row r="577" spans="1:26">
      <c r="A577" t="s">
        <v>1277</v>
      </c>
      <c r="B577" s="4">
        <v>45964</v>
      </c>
      <c r="C577" s="6">
        <v>45730</v>
      </c>
      <c r="D577" t="s">
        <v>2512</v>
      </c>
      <c r="E577" t="s">
        <v>114</v>
      </c>
      <c r="F577" t="s">
        <v>85</v>
      </c>
      <c r="G577" t="s">
        <v>50</v>
      </c>
      <c r="H577" t="s">
        <v>155</v>
      </c>
      <c r="I577" t="s">
        <v>156</v>
      </c>
      <c r="J577" t="s">
        <v>39</v>
      </c>
      <c r="K577" t="s">
        <v>53</v>
      </c>
      <c r="L577" t="s">
        <v>1278</v>
      </c>
      <c r="M577" t="s">
        <v>42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132</v>
      </c>
      <c r="U577" t="s">
        <v>92</v>
      </c>
      <c r="V577">
        <f t="shared" si="33"/>
        <v>3983.424</v>
      </c>
      <c r="W577">
        <f t="shared" si="34"/>
        <v>808.51400000000012</v>
      </c>
      <c r="X577">
        <f t="shared" si="35"/>
        <v>20.296960604746069</v>
      </c>
      <c r="Y577">
        <f t="shared" si="36"/>
        <v>-234</v>
      </c>
      <c r="Z577" t="str" cm="1">
        <f t="array" ref="Z577">_xlfn.IFS(Y577&lt;0, "Invalid Date", ISBLANK(G577), "Missing Region", TRUE, "Clean")</f>
        <v>Invalid Date</v>
      </c>
    </row>
    <row r="578" spans="1:26">
      <c r="A578" t="s">
        <v>1279</v>
      </c>
      <c r="B578" s="4">
        <v>45339</v>
      </c>
      <c r="C578" s="6">
        <v>45345</v>
      </c>
      <c r="D578" t="s">
        <v>2513</v>
      </c>
      <c r="E578" t="s">
        <v>121</v>
      </c>
      <c r="F578" t="s">
        <v>85</v>
      </c>
      <c r="G578" t="s">
        <v>2806</v>
      </c>
      <c r="H578" t="s">
        <v>124</v>
      </c>
      <c r="I578" t="s">
        <v>125</v>
      </c>
      <c r="J578" t="s">
        <v>27</v>
      </c>
      <c r="K578" t="s">
        <v>130</v>
      </c>
      <c r="L578" t="s">
        <v>1280</v>
      </c>
      <c r="M578" t="s">
        <v>55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91</v>
      </c>
      <c r="U578" t="s">
        <v>92</v>
      </c>
      <c r="V578">
        <f t="shared" si="33"/>
        <v>23530.14</v>
      </c>
      <c r="W578">
        <f t="shared" si="34"/>
        <v>3992.3499999999985</v>
      </c>
      <c r="X578">
        <f t="shared" si="35"/>
        <v>16.966962372514566</v>
      </c>
      <c r="Y578">
        <f t="shared" si="36"/>
        <v>6</v>
      </c>
      <c r="Z578" t="str" cm="1">
        <f t="array" ref="Z578">_xlfn.IFS(Y578&lt;0, "Invalid Date", ISBLANK(G578), "Missing Region", TRUE, "Clean")</f>
        <v>Clean</v>
      </c>
    </row>
    <row r="579" spans="1:26">
      <c r="A579" t="s">
        <v>1281</v>
      </c>
      <c r="B579" s="4">
        <v>45897</v>
      </c>
      <c r="C579" s="6">
        <v>45725</v>
      </c>
      <c r="D579" t="s">
        <v>2013</v>
      </c>
      <c r="E579" t="s">
        <v>100</v>
      </c>
      <c r="F579" t="s">
        <v>81</v>
      </c>
      <c r="G579" t="s">
        <v>58</v>
      </c>
      <c r="H579" t="s">
        <v>66</v>
      </c>
      <c r="I579" t="s">
        <v>67</v>
      </c>
      <c r="J579" t="s">
        <v>39</v>
      </c>
      <c r="K579" t="s">
        <v>53</v>
      </c>
      <c r="L579" t="s">
        <v>1282</v>
      </c>
      <c r="M579" t="s">
        <v>55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31</v>
      </c>
      <c r="U579" t="s">
        <v>32</v>
      </c>
      <c r="V579">
        <f t="shared" ref="V579:V642" si="37">N579*O579*(1- P579)</f>
        <v>1879.1499999999999</v>
      </c>
      <c r="W579">
        <f t="shared" ref="W579:W642" si="38">V579-R579</f>
        <v>744.24999999999977</v>
      </c>
      <c r="X579">
        <f t="shared" ref="X579:X642" si="39">W579/V579*100</f>
        <v>39.605672777585596</v>
      </c>
      <c r="Y579">
        <f t="shared" si="36"/>
        <v>-172</v>
      </c>
      <c r="Z579" t="str" cm="1">
        <f t="array" ref="Z579">_xlfn.IFS(Y579&lt;0, "Invalid Date", ISBLANK(G579), "Missing Region", TRUE, "Clean")</f>
        <v>Invalid Date</v>
      </c>
    </row>
    <row r="580" spans="1:26">
      <c r="A580" t="s">
        <v>1283</v>
      </c>
      <c r="B580" s="4">
        <v>45343</v>
      </c>
      <c r="C580" s="6">
        <v>45345</v>
      </c>
      <c r="D580" t="s">
        <v>2514</v>
      </c>
      <c r="E580" t="s">
        <v>72</v>
      </c>
      <c r="F580" t="s">
        <v>35</v>
      </c>
      <c r="G580" t="s">
        <v>58</v>
      </c>
      <c r="H580" t="s">
        <v>151</v>
      </c>
      <c r="I580" t="s">
        <v>152</v>
      </c>
      <c r="J580" t="s">
        <v>68</v>
      </c>
      <c r="K580" t="s">
        <v>73</v>
      </c>
      <c r="L580" t="s">
        <v>1284</v>
      </c>
      <c r="M580" t="s">
        <v>47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31</v>
      </c>
      <c r="U580" t="s">
        <v>32</v>
      </c>
      <c r="V580">
        <f t="shared" si="37"/>
        <v>15011.805</v>
      </c>
      <c r="W580">
        <f t="shared" si="38"/>
        <v>5351.4449999999997</v>
      </c>
      <c r="X580">
        <f t="shared" si="39"/>
        <v>35.648244831317747</v>
      </c>
      <c r="Y580">
        <f t="shared" si="36"/>
        <v>2</v>
      </c>
      <c r="Z580" t="str" cm="1">
        <f t="array" ref="Z580">_xlfn.IFS(Y580&lt;0, "Invalid Date", ISBLANK(G580), "Missing Region", TRUE, "Clean")</f>
        <v>Clean</v>
      </c>
    </row>
    <row r="581" spans="1:26">
      <c r="A581" t="s">
        <v>1285</v>
      </c>
      <c r="B581" s="4">
        <v>45462</v>
      </c>
      <c r="C581" s="6">
        <v>45467</v>
      </c>
      <c r="D581" t="s">
        <v>2515</v>
      </c>
      <c r="E581" t="s">
        <v>111</v>
      </c>
      <c r="F581" t="s">
        <v>35</v>
      </c>
      <c r="G581" t="s">
        <v>50</v>
      </c>
      <c r="H581" t="s">
        <v>200</v>
      </c>
      <c r="I581" t="s">
        <v>201</v>
      </c>
      <c r="J581" t="s">
        <v>27</v>
      </c>
      <c r="K581" t="s">
        <v>108</v>
      </c>
      <c r="L581" t="s">
        <v>1286</v>
      </c>
      <c r="M581" t="s">
        <v>42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31</v>
      </c>
      <c r="U581" t="s">
        <v>32</v>
      </c>
      <c r="V581">
        <f t="shared" si="37"/>
        <v>3202.41</v>
      </c>
      <c r="W581">
        <f t="shared" si="38"/>
        <v>593.9699999999998</v>
      </c>
      <c r="X581">
        <f t="shared" si="39"/>
        <v>18.547593843386696</v>
      </c>
      <c r="Y581">
        <f t="shared" si="36"/>
        <v>5</v>
      </c>
      <c r="Z581" t="str" cm="1">
        <f t="array" ref="Z581">_xlfn.IFS(Y581&lt;0, "Invalid Date", ISBLANK(G581), "Missing Region", TRUE, "Clean")</f>
        <v>Clean</v>
      </c>
    </row>
    <row r="582" spans="1:26">
      <c r="A582" t="s">
        <v>1287</v>
      </c>
      <c r="B582" s="4">
        <v>45811</v>
      </c>
      <c r="C582" s="6">
        <v>45729</v>
      </c>
      <c r="D582" t="s">
        <v>2516</v>
      </c>
      <c r="E582" t="s">
        <v>212</v>
      </c>
      <c r="F582" t="s">
        <v>23</v>
      </c>
      <c r="G582" t="s">
        <v>50</v>
      </c>
      <c r="H582" t="s">
        <v>155</v>
      </c>
      <c r="I582" t="s">
        <v>156</v>
      </c>
      <c r="J582" t="s">
        <v>39</v>
      </c>
      <c r="K582" t="s">
        <v>61</v>
      </c>
      <c r="L582" t="s">
        <v>1288</v>
      </c>
      <c r="M582" t="s">
        <v>55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132</v>
      </c>
      <c r="U582" t="s">
        <v>92</v>
      </c>
      <c r="V582">
        <f t="shared" si="37"/>
        <v>417.48599999999999</v>
      </c>
      <c r="W582">
        <f t="shared" si="38"/>
        <v>155.81599999999997</v>
      </c>
      <c r="X582">
        <f t="shared" si="39"/>
        <v>37.322449136018925</v>
      </c>
      <c r="Y582">
        <f t="shared" si="36"/>
        <v>-82</v>
      </c>
      <c r="Z582" t="str" cm="1">
        <f t="array" ref="Z582">_xlfn.IFS(Y582&lt;0, "Invalid Date", ISBLANK(G582), "Missing Region", TRUE, "Clean")</f>
        <v>Invalid Date</v>
      </c>
    </row>
    <row r="583" spans="1:26">
      <c r="A583" t="s">
        <v>1289</v>
      </c>
      <c r="B583" s="4">
        <v>45908</v>
      </c>
      <c r="C583" s="6">
        <v>45879</v>
      </c>
      <c r="D583" t="s">
        <v>2517</v>
      </c>
      <c r="E583" t="s">
        <v>72</v>
      </c>
      <c r="F583" t="s">
        <v>23</v>
      </c>
      <c r="G583" t="s">
        <v>24</v>
      </c>
      <c r="H583" t="s">
        <v>270</v>
      </c>
      <c r="I583" t="s">
        <v>271</v>
      </c>
      <c r="J583" t="s">
        <v>27</v>
      </c>
      <c r="K583" t="s">
        <v>45</v>
      </c>
      <c r="L583" t="s">
        <v>1290</v>
      </c>
      <c r="M583" t="s">
        <v>30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91</v>
      </c>
      <c r="U583" t="s">
        <v>92</v>
      </c>
      <c r="V583">
        <f t="shared" si="37"/>
        <v>16323.8</v>
      </c>
      <c r="W583">
        <f t="shared" si="38"/>
        <v>6358.0099999999984</v>
      </c>
      <c r="X583">
        <f t="shared" si="39"/>
        <v>38.949325524693997</v>
      </c>
      <c r="Y583">
        <f t="shared" ref="Y583:Y646" si="40">C583-B583</f>
        <v>-29</v>
      </c>
      <c r="Z583" t="str" cm="1">
        <f t="array" ref="Z583">_xlfn.IFS(Y583&lt;0, "Invalid Date", ISBLANK(G583), "Missing Region", TRUE, "Clean")</f>
        <v>Invalid Date</v>
      </c>
    </row>
    <row r="584" spans="1:26">
      <c r="A584" t="s">
        <v>1291</v>
      </c>
      <c r="B584" s="4">
        <v>45580</v>
      </c>
      <c r="C584" s="6">
        <v>45585</v>
      </c>
      <c r="D584" t="s">
        <v>2518</v>
      </c>
      <c r="E584" t="s">
        <v>57</v>
      </c>
      <c r="F584" t="s">
        <v>23</v>
      </c>
      <c r="G584" t="s">
        <v>36</v>
      </c>
      <c r="H584" t="s">
        <v>37</v>
      </c>
      <c r="I584" t="s">
        <v>38</v>
      </c>
      <c r="J584" t="s">
        <v>27</v>
      </c>
      <c r="K584" t="s">
        <v>45</v>
      </c>
      <c r="L584" t="s">
        <v>1292</v>
      </c>
      <c r="M584" t="s">
        <v>47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98</v>
      </c>
      <c r="U584" t="s">
        <v>92</v>
      </c>
      <c r="V584">
        <f t="shared" si="37"/>
        <v>3356.2</v>
      </c>
      <c r="W584">
        <f t="shared" si="38"/>
        <v>1150.48</v>
      </c>
      <c r="X584">
        <f t="shared" si="39"/>
        <v>34.279244383528997</v>
      </c>
      <c r="Y584">
        <f t="shared" si="40"/>
        <v>5</v>
      </c>
      <c r="Z584" t="str" cm="1">
        <f t="array" ref="Z584">_xlfn.IFS(Y584&lt;0, "Invalid Date", ISBLANK(G584), "Missing Region", TRUE, "Clean")</f>
        <v>Clean</v>
      </c>
    </row>
    <row r="585" spans="1:26">
      <c r="A585" t="s">
        <v>1293</v>
      </c>
      <c r="B585" s="4">
        <v>45350</v>
      </c>
      <c r="C585" s="6">
        <v>45350</v>
      </c>
      <c r="D585" t="s">
        <v>2519</v>
      </c>
      <c r="E585" t="s">
        <v>121</v>
      </c>
      <c r="F585" t="s">
        <v>35</v>
      </c>
      <c r="G585" t="s">
        <v>36</v>
      </c>
      <c r="H585" t="s">
        <v>88</v>
      </c>
      <c r="I585" t="s">
        <v>89</v>
      </c>
      <c r="J585" t="s">
        <v>27</v>
      </c>
      <c r="K585" t="s">
        <v>108</v>
      </c>
      <c r="L585" t="s">
        <v>1294</v>
      </c>
      <c r="M585" t="s">
        <v>47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132</v>
      </c>
      <c r="U585" t="s">
        <v>92</v>
      </c>
      <c r="V585">
        <f t="shared" si="37"/>
        <v>2101.4720000000002</v>
      </c>
      <c r="W585">
        <f t="shared" si="38"/>
        <v>883.64200000000028</v>
      </c>
      <c r="X585">
        <f t="shared" si="39"/>
        <v>42.048716328364129</v>
      </c>
      <c r="Y585">
        <f t="shared" si="40"/>
        <v>0</v>
      </c>
      <c r="Z585" t="str" cm="1">
        <f t="array" ref="Z585">_xlfn.IFS(Y585&lt;0, "Invalid Date", ISBLANK(G585), "Missing Region", TRUE, "Clean")</f>
        <v>Clean</v>
      </c>
    </row>
    <row r="586" spans="1:26">
      <c r="A586" t="s">
        <v>1295</v>
      </c>
      <c r="B586" s="4">
        <v>45508</v>
      </c>
      <c r="C586" s="6">
        <v>45573</v>
      </c>
      <c r="D586" t="s">
        <v>2520</v>
      </c>
      <c r="E586" t="s">
        <v>65</v>
      </c>
      <c r="F586" t="s">
        <v>23</v>
      </c>
      <c r="G586" t="s">
        <v>36</v>
      </c>
      <c r="H586" t="s">
        <v>124</v>
      </c>
      <c r="I586" t="s">
        <v>125</v>
      </c>
      <c r="J586" t="s">
        <v>27</v>
      </c>
      <c r="K586" t="s">
        <v>45</v>
      </c>
      <c r="L586" t="s">
        <v>1296</v>
      </c>
      <c r="M586" t="s">
        <v>42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98</v>
      </c>
      <c r="U586" t="s">
        <v>92</v>
      </c>
      <c r="V586">
        <f t="shared" si="37"/>
        <v>837.19049999999993</v>
      </c>
      <c r="W586">
        <f t="shared" si="38"/>
        <v>253.40049999999997</v>
      </c>
      <c r="X586">
        <f t="shared" si="39"/>
        <v>30.2679617124179</v>
      </c>
      <c r="Y586">
        <f t="shared" si="40"/>
        <v>65</v>
      </c>
      <c r="Z586" t="str" cm="1">
        <f t="array" ref="Z586">_xlfn.IFS(Y586&lt;0, "Invalid Date", ISBLANK(G586), "Missing Region", TRUE, "Clean")</f>
        <v>Clean</v>
      </c>
    </row>
    <row r="587" spans="1:26">
      <c r="A587" t="s">
        <v>1297</v>
      </c>
      <c r="B587" s="4">
        <v>45830</v>
      </c>
      <c r="C587" s="6">
        <v>45833</v>
      </c>
      <c r="D587" t="s">
        <v>2521</v>
      </c>
      <c r="E587" t="s">
        <v>137</v>
      </c>
      <c r="F587" t="s">
        <v>35</v>
      </c>
      <c r="G587" t="s">
        <v>58</v>
      </c>
      <c r="H587" t="s">
        <v>59</v>
      </c>
      <c r="I587" t="s">
        <v>60</v>
      </c>
      <c r="J587" t="s">
        <v>68</v>
      </c>
      <c r="K587" t="s">
        <v>144</v>
      </c>
      <c r="L587" t="s">
        <v>1298</v>
      </c>
      <c r="M587" t="s">
        <v>47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31</v>
      </c>
      <c r="U587" t="s">
        <v>32</v>
      </c>
      <c r="V587">
        <f t="shared" si="37"/>
        <v>27629.279999999999</v>
      </c>
      <c r="W587">
        <f t="shared" si="38"/>
        <v>5602.7999999999993</v>
      </c>
      <c r="X587">
        <f t="shared" si="39"/>
        <v>20.278487170132554</v>
      </c>
      <c r="Y587">
        <f t="shared" si="40"/>
        <v>3</v>
      </c>
      <c r="Z587" t="str" cm="1">
        <f t="array" ref="Z587">_xlfn.IFS(Y587&lt;0, "Invalid Date", ISBLANK(G587), "Missing Region", TRUE, "Clean")</f>
        <v>Clean</v>
      </c>
    </row>
    <row r="588" spans="1:26">
      <c r="A588" t="s">
        <v>1299</v>
      </c>
      <c r="B588" s="4">
        <v>45995</v>
      </c>
      <c r="C588" s="6">
        <v>45995</v>
      </c>
      <c r="D588" t="s">
        <v>2522</v>
      </c>
      <c r="E588" t="s">
        <v>34</v>
      </c>
      <c r="F588" t="s">
        <v>85</v>
      </c>
      <c r="G588" t="s">
        <v>24</v>
      </c>
      <c r="H588" t="s">
        <v>106</v>
      </c>
      <c r="I588" t="s">
        <v>107</v>
      </c>
      <c r="J588" t="s">
        <v>27</v>
      </c>
      <c r="K588" t="s">
        <v>130</v>
      </c>
      <c r="L588" t="s">
        <v>1300</v>
      </c>
      <c r="M588" t="s">
        <v>30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31</v>
      </c>
      <c r="U588" t="s">
        <v>32</v>
      </c>
      <c r="V588">
        <f t="shared" si="37"/>
        <v>7471.52</v>
      </c>
      <c r="W588">
        <f t="shared" si="38"/>
        <v>1287.2000000000007</v>
      </c>
      <c r="X588">
        <f t="shared" si="39"/>
        <v>17.228087457438388</v>
      </c>
      <c r="Y588">
        <f t="shared" si="40"/>
        <v>0</v>
      </c>
      <c r="Z588" t="str" cm="1">
        <f t="array" ref="Z588">_xlfn.IFS(Y588&lt;0, "Invalid Date", ISBLANK(G588), "Missing Region", TRUE, "Clean")</f>
        <v>Clean</v>
      </c>
    </row>
    <row r="589" spans="1:26">
      <c r="A589" t="s">
        <v>1301</v>
      </c>
      <c r="B589" s="4">
        <v>45861</v>
      </c>
      <c r="C589" s="6">
        <v>45869</v>
      </c>
      <c r="D589" t="s">
        <v>2523</v>
      </c>
      <c r="E589" t="s">
        <v>212</v>
      </c>
      <c r="F589" t="s">
        <v>85</v>
      </c>
      <c r="G589" t="s">
        <v>58</v>
      </c>
      <c r="H589" t="s">
        <v>66</v>
      </c>
      <c r="I589" t="s">
        <v>67</v>
      </c>
      <c r="J589" t="s">
        <v>68</v>
      </c>
      <c r="K589" t="s">
        <v>69</v>
      </c>
      <c r="L589" t="s">
        <v>1302</v>
      </c>
      <c r="M589" t="s">
        <v>47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91</v>
      </c>
      <c r="U589" t="s">
        <v>63</v>
      </c>
      <c r="V589">
        <f t="shared" si="37"/>
        <v>3615.7640000000001</v>
      </c>
      <c r="W589">
        <f t="shared" si="38"/>
        <v>664.24400000000014</v>
      </c>
      <c r="X589">
        <f t="shared" si="39"/>
        <v>18.370778623826116</v>
      </c>
      <c r="Y589">
        <f t="shared" si="40"/>
        <v>8</v>
      </c>
      <c r="Z589" t="str" cm="1">
        <f t="array" ref="Z589">_xlfn.IFS(Y589&lt;0, "Invalid Date", ISBLANK(G589), "Missing Region", TRUE, "Clean")</f>
        <v>Clean</v>
      </c>
    </row>
    <row r="590" spans="1:26">
      <c r="A590" t="s">
        <v>1303</v>
      </c>
      <c r="B590" s="4">
        <v>45964</v>
      </c>
      <c r="C590" s="6">
        <v>45731</v>
      </c>
      <c r="D590" t="s">
        <v>2524</v>
      </c>
      <c r="E590" t="s">
        <v>111</v>
      </c>
      <c r="F590" t="s">
        <v>85</v>
      </c>
      <c r="G590" t="s">
        <v>50</v>
      </c>
      <c r="H590" t="s">
        <v>147</v>
      </c>
      <c r="I590" t="s">
        <v>148</v>
      </c>
      <c r="J590" t="s">
        <v>68</v>
      </c>
      <c r="K590" t="s">
        <v>69</v>
      </c>
      <c r="L590" t="s">
        <v>1304</v>
      </c>
      <c r="M590" t="s">
        <v>30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91</v>
      </c>
      <c r="U590" t="s">
        <v>63</v>
      </c>
      <c r="V590">
        <f t="shared" si="37"/>
        <v>32013.791999999998</v>
      </c>
      <c r="W590">
        <f t="shared" si="38"/>
        <v>11116.911999999997</v>
      </c>
      <c r="X590">
        <f t="shared" si="39"/>
        <v>34.725383359771932</v>
      </c>
      <c r="Y590">
        <f t="shared" si="40"/>
        <v>-233</v>
      </c>
      <c r="Z590" t="str" cm="1">
        <f t="array" ref="Z590">_xlfn.IFS(Y590&lt;0, "Invalid Date", ISBLANK(G590), "Missing Region", TRUE, "Clean")</f>
        <v>Invalid Date</v>
      </c>
    </row>
    <row r="591" spans="1:26">
      <c r="A591" t="s">
        <v>1305</v>
      </c>
      <c r="B591" s="4">
        <v>45455</v>
      </c>
      <c r="C591" s="6">
        <v>45638</v>
      </c>
      <c r="D591" t="s">
        <v>2525</v>
      </c>
      <c r="E591" t="s">
        <v>121</v>
      </c>
      <c r="F591" t="s">
        <v>81</v>
      </c>
      <c r="G591" t="s">
        <v>24</v>
      </c>
      <c r="H591" t="s">
        <v>117</v>
      </c>
      <c r="I591" t="s">
        <v>118</v>
      </c>
      <c r="J591" t="s">
        <v>68</v>
      </c>
      <c r="K591" t="s">
        <v>144</v>
      </c>
      <c r="L591" t="s">
        <v>1306</v>
      </c>
      <c r="M591" t="s">
        <v>47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31</v>
      </c>
      <c r="U591" t="s">
        <v>32</v>
      </c>
      <c r="V591">
        <f t="shared" si="37"/>
        <v>1574.25</v>
      </c>
      <c r="W591">
        <f t="shared" si="38"/>
        <v>248.13000000000011</v>
      </c>
      <c r="X591">
        <f t="shared" si="39"/>
        <v>15.761791329204389</v>
      </c>
      <c r="Y591">
        <f t="shared" si="40"/>
        <v>183</v>
      </c>
      <c r="Z591" t="str" cm="1">
        <f t="array" ref="Z591">_xlfn.IFS(Y591&lt;0, "Invalid Date", ISBLANK(G591), "Missing Region", TRUE, "Clean")</f>
        <v>Clean</v>
      </c>
    </row>
    <row r="592" spans="1:26">
      <c r="A592" t="s">
        <v>1307</v>
      </c>
      <c r="B592" s="4">
        <v>45441</v>
      </c>
      <c r="C592" s="6">
        <v>45441</v>
      </c>
      <c r="D592" t="s">
        <v>2526</v>
      </c>
      <c r="E592" t="s">
        <v>111</v>
      </c>
      <c r="F592" t="s">
        <v>85</v>
      </c>
      <c r="G592" t="s">
        <v>24</v>
      </c>
      <c r="H592" t="s">
        <v>270</v>
      </c>
      <c r="I592" t="s">
        <v>271</v>
      </c>
      <c r="J592" t="s">
        <v>39</v>
      </c>
      <c r="K592" t="s">
        <v>61</v>
      </c>
      <c r="L592" t="s">
        <v>1308</v>
      </c>
      <c r="M592" t="s">
        <v>42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98</v>
      </c>
      <c r="U592" t="s">
        <v>63</v>
      </c>
      <c r="V592">
        <f t="shared" si="37"/>
        <v>20582.099999999999</v>
      </c>
      <c r="W592">
        <f t="shared" si="38"/>
        <v>4684.4499999999989</v>
      </c>
      <c r="X592">
        <f t="shared" si="39"/>
        <v>22.759825285077806</v>
      </c>
      <c r="Y592">
        <f t="shared" si="40"/>
        <v>0</v>
      </c>
      <c r="Z592" t="str" cm="1">
        <f t="array" ref="Z592">_xlfn.IFS(Y592&lt;0, "Invalid Date", ISBLANK(G592), "Missing Region", TRUE, "Clean")</f>
        <v>Clean</v>
      </c>
    </row>
    <row r="593" spans="1:26">
      <c r="A593" t="s">
        <v>1309</v>
      </c>
      <c r="B593" s="4">
        <v>45344</v>
      </c>
      <c r="C593" s="6">
        <v>45346</v>
      </c>
      <c r="D593" t="s">
        <v>2527</v>
      </c>
      <c r="E593" t="s">
        <v>114</v>
      </c>
      <c r="F593" t="s">
        <v>23</v>
      </c>
      <c r="G593" t="s">
        <v>50</v>
      </c>
      <c r="H593" t="s">
        <v>147</v>
      </c>
      <c r="I593" t="s">
        <v>148</v>
      </c>
      <c r="J593" t="s">
        <v>68</v>
      </c>
      <c r="K593" t="s">
        <v>73</v>
      </c>
      <c r="L593" t="s">
        <v>1310</v>
      </c>
      <c r="M593" t="s">
        <v>47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132</v>
      </c>
      <c r="U593" t="s">
        <v>92</v>
      </c>
      <c r="V593">
        <f t="shared" si="37"/>
        <v>10635.24</v>
      </c>
      <c r="W593">
        <f t="shared" si="38"/>
        <v>4603.3599999999997</v>
      </c>
      <c r="X593">
        <f t="shared" si="39"/>
        <v>43.284025560307057</v>
      </c>
      <c r="Y593">
        <f t="shared" si="40"/>
        <v>2</v>
      </c>
      <c r="Z593" t="str" cm="1">
        <f t="array" ref="Z593">_xlfn.IFS(Y593&lt;0, "Invalid Date", ISBLANK(G593), "Missing Region", TRUE, "Clean")</f>
        <v>Clean</v>
      </c>
    </row>
    <row r="594" spans="1:26">
      <c r="A594" t="s">
        <v>1311</v>
      </c>
      <c r="B594" s="4">
        <v>45385</v>
      </c>
      <c r="C594" s="6">
        <v>45538</v>
      </c>
      <c r="D594" t="s">
        <v>2460</v>
      </c>
      <c r="E594" t="s">
        <v>34</v>
      </c>
      <c r="F594" t="s">
        <v>23</v>
      </c>
      <c r="G594" t="s">
        <v>36</v>
      </c>
      <c r="H594" t="s">
        <v>88</v>
      </c>
      <c r="I594" t="s">
        <v>89</v>
      </c>
      <c r="J594" t="s">
        <v>68</v>
      </c>
      <c r="K594" t="s">
        <v>69</v>
      </c>
      <c r="L594" t="s">
        <v>1312</v>
      </c>
      <c r="M594" t="s">
        <v>42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31</v>
      </c>
      <c r="U594" t="s">
        <v>32</v>
      </c>
      <c r="V594">
        <f t="shared" si="37"/>
        <v>29929.588</v>
      </c>
      <c r="W594">
        <f t="shared" si="38"/>
        <v>7493.5580000000009</v>
      </c>
      <c r="X594">
        <f t="shared" si="39"/>
        <v>25.037290857461858</v>
      </c>
      <c r="Y594">
        <f t="shared" si="40"/>
        <v>153</v>
      </c>
      <c r="Z594" t="str" cm="1">
        <f t="array" ref="Z594">_xlfn.IFS(Y594&lt;0, "Invalid Date", ISBLANK(G594), "Missing Region", TRUE, "Clean")</f>
        <v>Clean</v>
      </c>
    </row>
    <row r="595" spans="1:26">
      <c r="A595" t="s">
        <v>1313</v>
      </c>
      <c r="B595" s="4">
        <v>45927</v>
      </c>
      <c r="C595" s="6">
        <v>45929</v>
      </c>
      <c r="D595" t="s">
        <v>2528</v>
      </c>
      <c r="E595" t="s">
        <v>49</v>
      </c>
      <c r="F595" t="s">
        <v>85</v>
      </c>
      <c r="G595" t="s">
        <v>24</v>
      </c>
      <c r="H595" t="s">
        <v>117</v>
      </c>
      <c r="I595" t="s">
        <v>118</v>
      </c>
      <c r="J595" t="s">
        <v>39</v>
      </c>
      <c r="K595" t="s">
        <v>40</v>
      </c>
      <c r="L595" t="s">
        <v>1314</v>
      </c>
      <c r="M595" t="s">
        <v>30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31</v>
      </c>
      <c r="U595" t="s">
        <v>32</v>
      </c>
      <c r="V595">
        <f t="shared" si="37"/>
        <v>27675.7425</v>
      </c>
      <c r="W595">
        <f t="shared" si="38"/>
        <v>12104.6625</v>
      </c>
      <c r="X595">
        <f t="shared" si="39"/>
        <v>43.737444442547478</v>
      </c>
      <c r="Y595">
        <f t="shared" si="40"/>
        <v>2</v>
      </c>
      <c r="Z595" t="str" cm="1">
        <f t="array" ref="Z595">_xlfn.IFS(Y595&lt;0, "Invalid Date", ISBLANK(G595), "Missing Region", TRUE, "Clean")</f>
        <v>Clean</v>
      </c>
    </row>
    <row r="596" spans="1:26">
      <c r="A596" t="s">
        <v>1315</v>
      </c>
      <c r="B596" s="4">
        <v>45554</v>
      </c>
      <c r="C596" s="6">
        <v>45556</v>
      </c>
      <c r="D596" t="s">
        <v>2529</v>
      </c>
      <c r="E596" t="s">
        <v>22</v>
      </c>
      <c r="F596" t="s">
        <v>35</v>
      </c>
      <c r="G596" t="s">
        <v>36</v>
      </c>
      <c r="H596" t="s">
        <v>88</v>
      </c>
      <c r="I596" t="s">
        <v>89</v>
      </c>
      <c r="J596" t="s">
        <v>39</v>
      </c>
      <c r="K596" t="s">
        <v>61</v>
      </c>
      <c r="L596" t="s">
        <v>1316</v>
      </c>
      <c r="M596" t="s">
        <v>47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31</v>
      </c>
      <c r="U596" t="s">
        <v>32</v>
      </c>
      <c r="V596">
        <f t="shared" si="37"/>
        <v>11945.28</v>
      </c>
      <c r="W596">
        <f t="shared" si="38"/>
        <v>2244.9700000000012</v>
      </c>
      <c r="X596">
        <f t="shared" si="39"/>
        <v>18.793782983739192</v>
      </c>
      <c r="Y596">
        <f t="shared" si="40"/>
        <v>2</v>
      </c>
      <c r="Z596" t="str" cm="1">
        <f t="array" ref="Z596">_xlfn.IFS(Y596&lt;0, "Invalid Date", ISBLANK(G596), "Missing Region", TRUE, "Clean")</f>
        <v>Clean</v>
      </c>
    </row>
    <row r="597" spans="1:26">
      <c r="A597" t="s">
        <v>1317</v>
      </c>
      <c r="B597" s="4">
        <v>45699</v>
      </c>
      <c r="C597" s="6">
        <v>45704</v>
      </c>
      <c r="D597" t="s">
        <v>2530</v>
      </c>
      <c r="E597" t="s">
        <v>34</v>
      </c>
      <c r="F597" t="s">
        <v>81</v>
      </c>
      <c r="G597" t="s">
        <v>24</v>
      </c>
      <c r="H597" t="s">
        <v>117</v>
      </c>
      <c r="I597" t="s">
        <v>118</v>
      </c>
      <c r="J597" t="s">
        <v>68</v>
      </c>
      <c r="K597" t="s">
        <v>144</v>
      </c>
      <c r="L597" t="s">
        <v>1318</v>
      </c>
      <c r="M597" t="s">
        <v>47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31</v>
      </c>
      <c r="U597" t="s">
        <v>32</v>
      </c>
      <c r="V597">
        <f t="shared" si="37"/>
        <v>13144.031999999999</v>
      </c>
      <c r="W597">
        <f t="shared" si="38"/>
        <v>3380.0319999999992</v>
      </c>
      <c r="X597">
        <f t="shared" si="39"/>
        <v>25.715336055176973</v>
      </c>
      <c r="Y597">
        <f t="shared" si="40"/>
        <v>5</v>
      </c>
      <c r="Z597" t="str" cm="1">
        <f t="array" ref="Z597">_xlfn.IFS(Y597&lt;0, "Invalid Date", ISBLANK(G597), "Missing Region", TRUE, "Clean")</f>
        <v>Clean</v>
      </c>
    </row>
    <row r="598" spans="1:26">
      <c r="A598" t="s">
        <v>1319</v>
      </c>
      <c r="B598" s="4">
        <v>45569</v>
      </c>
      <c r="C598" s="6">
        <v>45398</v>
      </c>
      <c r="D598" t="s">
        <v>2531</v>
      </c>
      <c r="E598" t="s">
        <v>80</v>
      </c>
      <c r="F598" t="s">
        <v>23</v>
      </c>
      <c r="G598" t="s">
        <v>50</v>
      </c>
      <c r="H598" t="s">
        <v>155</v>
      </c>
      <c r="I598" t="s">
        <v>156</v>
      </c>
      <c r="J598" t="s">
        <v>39</v>
      </c>
      <c r="K598" t="s">
        <v>61</v>
      </c>
      <c r="L598" t="s">
        <v>1320</v>
      </c>
      <c r="M598" t="s">
        <v>30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31</v>
      </c>
      <c r="U598" t="s">
        <v>32</v>
      </c>
      <c r="V598">
        <f t="shared" si="37"/>
        <v>18382.005000000005</v>
      </c>
      <c r="W598">
        <f t="shared" si="38"/>
        <v>5273.8050000000039</v>
      </c>
      <c r="X598">
        <f t="shared" si="39"/>
        <v>28.690042245119628</v>
      </c>
      <c r="Y598">
        <f t="shared" si="40"/>
        <v>-171</v>
      </c>
      <c r="Z598" t="str" cm="1">
        <f t="array" ref="Z598">_xlfn.IFS(Y598&lt;0, "Invalid Date", ISBLANK(G598), "Missing Region", TRUE, "Clean")</f>
        <v>Invalid Date</v>
      </c>
    </row>
    <row r="599" spans="1:26">
      <c r="A599" t="s">
        <v>1321</v>
      </c>
      <c r="B599" s="4">
        <v>45876</v>
      </c>
      <c r="C599" s="6">
        <v>45846</v>
      </c>
      <c r="D599" t="s">
        <v>2532</v>
      </c>
      <c r="E599" t="s">
        <v>80</v>
      </c>
      <c r="F599" t="s">
        <v>23</v>
      </c>
      <c r="G599" t="s">
        <v>50</v>
      </c>
      <c r="H599" t="s">
        <v>51</v>
      </c>
      <c r="I599" t="s">
        <v>52</v>
      </c>
      <c r="J599" t="s">
        <v>68</v>
      </c>
      <c r="K599" t="s">
        <v>73</v>
      </c>
      <c r="L599" t="s">
        <v>1322</v>
      </c>
      <c r="M599" t="s">
        <v>42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31</v>
      </c>
      <c r="U599" t="s">
        <v>32</v>
      </c>
      <c r="V599">
        <f t="shared" si="37"/>
        <v>1855.44</v>
      </c>
      <c r="W599">
        <f t="shared" si="38"/>
        <v>592.70000000000005</v>
      </c>
      <c r="X599">
        <f t="shared" si="39"/>
        <v>31.943905488725051</v>
      </c>
      <c r="Y599">
        <f t="shared" si="40"/>
        <v>-30</v>
      </c>
      <c r="Z599" t="str" cm="1">
        <f t="array" ref="Z599">_xlfn.IFS(Y599&lt;0, "Invalid Date", ISBLANK(G599), "Missing Region", TRUE, "Clean")</f>
        <v>Invalid Date</v>
      </c>
    </row>
    <row r="600" spans="1:26">
      <c r="A600" t="s">
        <v>1323</v>
      </c>
      <c r="B600" s="4">
        <v>45521</v>
      </c>
      <c r="C600" s="6">
        <v>45528</v>
      </c>
      <c r="D600" t="s">
        <v>2533</v>
      </c>
      <c r="E600" t="s">
        <v>57</v>
      </c>
      <c r="F600" t="s">
        <v>81</v>
      </c>
      <c r="G600" t="s">
        <v>36</v>
      </c>
      <c r="H600" t="s">
        <v>88</v>
      </c>
      <c r="I600" t="s">
        <v>89</v>
      </c>
      <c r="J600" t="s">
        <v>68</v>
      </c>
      <c r="K600" t="s">
        <v>73</v>
      </c>
      <c r="L600" t="s">
        <v>1324</v>
      </c>
      <c r="M600" t="s">
        <v>42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31</v>
      </c>
      <c r="U600" t="s">
        <v>32</v>
      </c>
      <c r="V600">
        <f t="shared" si="37"/>
        <v>3354.0524999999998</v>
      </c>
      <c r="W600">
        <f t="shared" si="38"/>
        <v>681.38249999999971</v>
      </c>
      <c r="X600">
        <f t="shared" si="39"/>
        <v>20.315200790685289</v>
      </c>
      <c r="Y600">
        <f t="shared" si="40"/>
        <v>7</v>
      </c>
      <c r="Z600" t="str" cm="1">
        <f t="array" ref="Z600">_xlfn.IFS(Y600&lt;0, "Invalid Date", ISBLANK(G600), "Missing Region", TRUE, "Clean")</f>
        <v>Clean</v>
      </c>
    </row>
    <row r="601" spans="1:26">
      <c r="A601" t="s">
        <v>1325</v>
      </c>
      <c r="B601" s="4">
        <v>45523</v>
      </c>
      <c r="C601" s="6">
        <v>45525</v>
      </c>
      <c r="D601" t="s">
        <v>2534</v>
      </c>
      <c r="E601" t="s">
        <v>49</v>
      </c>
      <c r="F601" t="s">
        <v>23</v>
      </c>
      <c r="G601" t="s">
        <v>24</v>
      </c>
      <c r="H601" t="s">
        <v>106</v>
      </c>
      <c r="I601" t="s">
        <v>107</v>
      </c>
      <c r="J601" t="s">
        <v>68</v>
      </c>
      <c r="K601" t="s">
        <v>144</v>
      </c>
      <c r="L601" t="s">
        <v>1326</v>
      </c>
      <c r="M601" t="s">
        <v>47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31</v>
      </c>
      <c r="U601" t="s">
        <v>32</v>
      </c>
      <c r="V601">
        <f t="shared" si="37"/>
        <v>2482.9650000000001</v>
      </c>
      <c r="W601">
        <f t="shared" si="38"/>
        <v>861.24500000000012</v>
      </c>
      <c r="X601">
        <f t="shared" si="39"/>
        <v>34.686151435884113</v>
      </c>
      <c r="Y601">
        <f t="shared" si="40"/>
        <v>2</v>
      </c>
      <c r="Z601" t="str" cm="1">
        <f t="array" ref="Z601">_xlfn.IFS(Y601&lt;0, "Invalid Date", ISBLANK(G601), "Missing Region", TRUE, "Clean")</f>
        <v>Clean</v>
      </c>
    </row>
    <row r="602" spans="1:26">
      <c r="A602" t="s">
        <v>1327</v>
      </c>
      <c r="B602" s="4">
        <v>45780</v>
      </c>
      <c r="C602" s="6">
        <v>45994</v>
      </c>
      <c r="D602" t="s">
        <v>2535</v>
      </c>
      <c r="E602" t="s">
        <v>57</v>
      </c>
      <c r="F602" t="s">
        <v>81</v>
      </c>
      <c r="G602" t="s">
        <v>58</v>
      </c>
      <c r="H602" t="s">
        <v>66</v>
      </c>
      <c r="I602" t="s">
        <v>67</v>
      </c>
      <c r="J602" t="s">
        <v>27</v>
      </c>
      <c r="K602" t="s">
        <v>108</v>
      </c>
      <c r="L602" t="s">
        <v>1328</v>
      </c>
      <c r="M602" t="s">
        <v>42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31</v>
      </c>
      <c r="U602" t="s">
        <v>32</v>
      </c>
      <c r="V602">
        <f t="shared" si="37"/>
        <v>11048.25</v>
      </c>
      <c r="W602">
        <f t="shared" si="38"/>
        <v>1985.5300000000007</v>
      </c>
      <c r="X602">
        <f t="shared" si="39"/>
        <v>17.971443441268985</v>
      </c>
      <c r="Y602">
        <f t="shared" si="40"/>
        <v>214</v>
      </c>
      <c r="Z602" t="str" cm="1">
        <f t="array" ref="Z602">_xlfn.IFS(Y602&lt;0, "Invalid Date", ISBLANK(G602), "Missing Region", TRUE, "Clean")</f>
        <v>Clean</v>
      </c>
    </row>
    <row r="603" spans="1:26">
      <c r="A603" t="s">
        <v>1329</v>
      </c>
      <c r="B603" s="4">
        <v>45317</v>
      </c>
      <c r="C603" s="6">
        <v>45322</v>
      </c>
      <c r="D603" t="s">
        <v>2536</v>
      </c>
      <c r="E603" t="s">
        <v>57</v>
      </c>
      <c r="F603" t="s">
        <v>85</v>
      </c>
      <c r="G603" t="s">
        <v>36</v>
      </c>
      <c r="H603" t="s">
        <v>88</v>
      </c>
      <c r="I603" t="s">
        <v>89</v>
      </c>
      <c r="J603" t="s">
        <v>27</v>
      </c>
      <c r="K603" t="s">
        <v>28</v>
      </c>
      <c r="L603" t="s">
        <v>1330</v>
      </c>
      <c r="M603" t="s">
        <v>30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31</v>
      </c>
      <c r="U603" t="s">
        <v>32</v>
      </c>
      <c r="V603">
        <f t="shared" si="37"/>
        <v>6460.12</v>
      </c>
      <c r="W603">
        <f t="shared" si="38"/>
        <v>2856.0899999999997</v>
      </c>
      <c r="X603">
        <f t="shared" si="39"/>
        <v>44.211098245853016</v>
      </c>
      <c r="Y603">
        <f t="shared" si="40"/>
        <v>5</v>
      </c>
      <c r="Z603" t="str" cm="1">
        <f t="array" ref="Z603">_xlfn.IFS(Y603&lt;0, "Invalid Date", ISBLANK(G603), "Missing Region", TRUE, "Clean")</f>
        <v>Clean</v>
      </c>
    </row>
    <row r="604" spans="1:26">
      <c r="A604" t="s">
        <v>1331</v>
      </c>
      <c r="B604" s="4">
        <v>45588</v>
      </c>
      <c r="C604" s="6">
        <v>45595</v>
      </c>
      <c r="D604" t="s">
        <v>2026</v>
      </c>
      <c r="E604" t="s">
        <v>111</v>
      </c>
      <c r="F604" t="s">
        <v>23</v>
      </c>
      <c r="G604" t="s">
        <v>36</v>
      </c>
      <c r="H604" t="s">
        <v>186</v>
      </c>
      <c r="I604" t="s">
        <v>187</v>
      </c>
      <c r="J604" t="s">
        <v>68</v>
      </c>
      <c r="K604" t="s">
        <v>73</v>
      </c>
      <c r="L604" t="s">
        <v>1332</v>
      </c>
      <c r="M604" t="s">
        <v>30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31</v>
      </c>
      <c r="U604" t="s">
        <v>32</v>
      </c>
      <c r="V604">
        <f t="shared" si="37"/>
        <v>26192.223000000002</v>
      </c>
      <c r="W604">
        <f t="shared" si="38"/>
        <v>5396.6730000000025</v>
      </c>
      <c r="X604">
        <f t="shared" si="39"/>
        <v>20.60410450842604</v>
      </c>
      <c r="Y604">
        <f t="shared" si="40"/>
        <v>7</v>
      </c>
      <c r="Z604" t="str" cm="1">
        <f t="array" ref="Z604">_xlfn.IFS(Y604&lt;0, "Invalid Date", ISBLANK(G604), "Missing Region", TRUE, "Clean")</f>
        <v>Clean</v>
      </c>
    </row>
    <row r="605" spans="1:26">
      <c r="A605" t="s">
        <v>1333</v>
      </c>
      <c r="B605" s="4">
        <v>45660</v>
      </c>
      <c r="C605" s="6">
        <v>45962</v>
      </c>
      <c r="D605" t="s">
        <v>2537</v>
      </c>
      <c r="E605" t="s">
        <v>65</v>
      </c>
      <c r="F605" t="s">
        <v>81</v>
      </c>
      <c r="G605" t="s">
        <v>36</v>
      </c>
      <c r="H605" t="s">
        <v>124</v>
      </c>
      <c r="I605" t="s">
        <v>125</v>
      </c>
      <c r="J605" t="s">
        <v>68</v>
      </c>
      <c r="K605" t="s">
        <v>69</v>
      </c>
      <c r="L605" t="s">
        <v>1334</v>
      </c>
      <c r="M605" t="s">
        <v>47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98</v>
      </c>
      <c r="U605" t="s">
        <v>63</v>
      </c>
      <c r="V605">
        <f t="shared" si="37"/>
        <v>19564.603999999999</v>
      </c>
      <c r="W605">
        <f t="shared" si="38"/>
        <v>8410.0139999999992</v>
      </c>
      <c r="X605">
        <f t="shared" si="39"/>
        <v>42.985863654587639</v>
      </c>
      <c r="Y605">
        <f t="shared" si="40"/>
        <v>302</v>
      </c>
      <c r="Z605" t="str" cm="1">
        <f t="array" ref="Z605">_xlfn.IFS(Y605&lt;0, "Invalid Date", ISBLANK(G605), "Missing Region", TRUE, "Clean")</f>
        <v>Clean</v>
      </c>
    </row>
    <row r="606" spans="1:26">
      <c r="A606" t="s">
        <v>1335</v>
      </c>
      <c r="B606" s="4">
        <v>45779</v>
      </c>
      <c r="C606" s="6">
        <v>45694</v>
      </c>
      <c r="D606" t="s">
        <v>2538</v>
      </c>
      <c r="E606" t="s">
        <v>57</v>
      </c>
      <c r="F606" t="s">
        <v>23</v>
      </c>
      <c r="G606" t="s">
        <v>58</v>
      </c>
      <c r="H606" t="s">
        <v>66</v>
      </c>
      <c r="I606" t="s">
        <v>67</v>
      </c>
      <c r="J606" t="s">
        <v>27</v>
      </c>
      <c r="K606" t="s">
        <v>130</v>
      </c>
      <c r="L606" t="s">
        <v>1336</v>
      </c>
      <c r="M606" t="s">
        <v>42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31</v>
      </c>
      <c r="U606" t="s">
        <v>32</v>
      </c>
      <c r="V606">
        <f t="shared" si="37"/>
        <v>3228.8999999999996</v>
      </c>
      <c r="W606">
        <f t="shared" si="38"/>
        <v>1375.6699999999996</v>
      </c>
      <c r="X606">
        <f t="shared" si="39"/>
        <v>42.604911889497963</v>
      </c>
      <c r="Y606">
        <f t="shared" si="40"/>
        <v>-85</v>
      </c>
      <c r="Z606" t="str" cm="1">
        <f t="array" ref="Z606">_xlfn.IFS(Y606&lt;0, "Invalid Date", ISBLANK(G606), "Missing Region", TRUE, "Clean")</f>
        <v>Invalid Date</v>
      </c>
    </row>
    <row r="607" spans="1:26">
      <c r="A607" t="s">
        <v>1337</v>
      </c>
      <c r="B607" s="4">
        <v>45907</v>
      </c>
      <c r="C607" s="6">
        <v>45851</v>
      </c>
      <c r="D607" t="s">
        <v>2539</v>
      </c>
      <c r="E607" t="s">
        <v>212</v>
      </c>
      <c r="F607" t="s">
        <v>81</v>
      </c>
      <c r="G607" t="s">
        <v>58</v>
      </c>
      <c r="H607" t="s">
        <v>159</v>
      </c>
      <c r="I607" t="s">
        <v>160</v>
      </c>
      <c r="J607" t="s">
        <v>39</v>
      </c>
      <c r="K607" t="s">
        <v>53</v>
      </c>
      <c r="L607" t="s">
        <v>1338</v>
      </c>
      <c r="M607" t="s">
        <v>30</v>
      </c>
      <c r="N607">
        <v>5</v>
      </c>
      <c r="O607">
        <v>1680.01</v>
      </c>
      <c r="P607" t="s">
        <v>555</v>
      </c>
      <c r="Q607">
        <v>7560.04</v>
      </c>
      <c r="R607">
        <v>6448.05</v>
      </c>
      <c r="S607">
        <v>1111.99</v>
      </c>
      <c r="T607" t="s">
        <v>31</v>
      </c>
      <c r="U607" t="s">
        <v>63</v>
      </c>
      <c r="V607">
        <f t="shared" si="37"/>
        <v>1260.0075000000002</v>
      </c>
      <c r="W607">
        <f t="shared" si="38"/>
        <v>-5188.0424999999996</v>
      </c>
      <c r="X607">
        <f t="shared" si="39"/>
        <v>-411.74695388717913</v>
      </c>
      <c r="Y607">
        <f t="shared" si="40"/>
        <v>-56</v>
      </c>
      <c r="Z607" t="str" cm="1">
        <f t="array" ref="Z607">_xlfn.IFS(Y607&lt;0, "Invalid Date", ISBLANK(G607), "Missing Region", TRUE, "Clean")</f>
        <v>Invalid Date</v>
      </c>
    </row>
    <row r="608" spans="1:26">
      <c r="A608" t="s">
        <v>1339</v>
      </c>
      <c r="B608" s="4">
        <v>45710</v>
      </c>
      <c r="C608" s="6">
        <v>45716</v>
      </c>
      <c r="D608" t="s">
        <v>2540</v>
      </c>
      <c r="E608" t="s">
        <v>103</v>
      </c>
      <c r="F608" t="s">
        <v>85</v>
      </c>
      <c r="G608" t="s">
        <v>58</v>
      </c>
      <c r="H608" t="s">
        <v>66</v>
      </c>
      <c r="I608" t="s">
        <v>67</v>
      </c>
      <c r="J608" t="s">
        <v>68</v>
      </c>
      <c r="K608" t="s">
        <v>73</v>
      </c>
      <c r="L608" t="s">
        <v>1340</v>
      </c>
      <c r="M608" t="s">
        <v>42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31</v>
      </c>
      <c r="U608" t="s">
        <v>32</v>
      </c>
      <c r="V608">
        <f t="shared" si="37"/>
        <v>8754.3225000000002</v>
      </c>
      <c r="W608">
        <f t="shared" si="38"/>
        <v>2515.4225000000006</v>
      </c>
      <c r="X608">
        <f t="shared" si="39"/>
        <v>28.733491369549164</v>
      </c>
      <c r="Y608">
        <f t="shared" si="40"/>
        <v>6</v>
      </c>
      <c r="Z608" t="str" cm="1">
        <f t="array" ref="Z608">_xlfn.IFS(Y608&lt;0, "Invalid Date", ISBLANK(G608), "Missing Region", TRUE, "Clean")</f>
        <v>Clean</v>
      </c>
    </row>
    <row r="609" spans="1:26">
      <c r="A609" t="s">
        <v>1341</v>
      </c>
      <c r="B609" s="4">
        <v>45704</v>
      </c>
      <c r="C609" s="6">
        <v>45710</v>
      </c>
      <c r="D609" t="s">
        <v>2469</v>
      </c>
      <c r="E609" t="s">
        <v>114</v>
      </c>
      <c r="F609" t="s">
        <v>85</v>
      </c>
      <c r="G609" t="s">
        <v>36</v>
      </c>
      <c r="H609" t="s">
        <v>124</v>
      </c>
      <c r="I609" t="s">
        <v>125</v>
      </c>
      <c r="J609" t="s">
        <v>27</v>
      </c>
      <c r="K609" t="s">
        <v>108</v>
      </c>
      <c r="L609" t="s">
        <v>1342</v>
      </c>
      <c r="M609" t="s">
        <v>42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31</v>
      </c>
      <c r="U609" t="s">
        <v>32</v>
      </c>
      <c r="V609">
        <f t="shared" si="37"/>
        <v>4057.3474999999994</v>
      </c>
      <c r="W609">
        <f t="shared" si="38"/>
        <v>1195.3174999999992</v>
      </c>
      <c r="X609">
        <f t="shared" si="39"/>
        <v>29.460565061286946</v>
      </c>
      <c r="Y609">
        <f t="shared" si="40"/>
        <v>6</v>
      </c>
      <c r="Z609" t="str" cm="1">
        <f t="array" ref="Z609">_xlfn.IFS(Y609&lt;0, "Invalid Date", ISBLANK(G609), "Missing Region", TRUE, "Clean")</f>
        <v>Clean</v>
      </c>
    </row>
    <row r="610" spans="1:26">
      <c r="A610" t="s">
        <v>1343</v>
      </c>
      <c r="B610" s="4">
        <v>45464</v>
      </c>
      <c r="C610" s="6">
        <v>45466</v>
      </c>
      <c r="D610" t="s">
        <v>2541</v>
      </c>
      <c r="E610" t="s">
        <v>22</v>
      </c>
      <c r="F610" t="s">
        <v>85</v>
      </c>
      <c r="G610" t="s">
        <v>58</v>
      </c>
      <c r="H610" t="s">
        <v>159</v>
      </c>
      <c r="I610" t="s">
        <v>160</v>
      </c>
      <c r="J610" t="s">
        <v>39</v>
      </c>
      <c r="K610" t="s">
        <v>53</v>
      </c>
      <c r="L610" t="s">
        <v>1344</v>
      </c>
      <c r="M610" t="s">
        <v>30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31</v>
      </c>
      <c r="U610" t="s">
        <v>32</v>
      </c>
      <c r="V610">
        <f t="shared" si="37"/>
        <v>19383.75</v>
      </c>
      <c r="W610">
        <f t="shared" si="38"/>
        <v>7716.32</v>
      </c>
      <c r="X610">
        <f t="shared" si="39"/>
        <v>39.808189849745276</v>
      </c>
      <c r="Y610">
        <f t="shared" si="40"/>
        <v>2</v>
      </c>
      <c r="Z610" t="str" cm="1">
        <f t="array" ref="Z610">_xlfn.IFS(Y610&lt;0, "Invalid Date", ISBLANK(G610), "Missing Region", TRUE, "Clean")</f>
        <v>Clean</v>
      </c>
    </row>
    <row r="611" spans="1:26">
      <c r="A611" t="s">
        <v>1345</v>
      </c>
      <c r="B611" s="4">
        <v>45870</v>
      </c>
      <c r="C611" s="6">
        <v>45992</v>
      </c>
      <c r="D611" t="s">
        <v>2363</v>
      </c>
      <c r="E611" t="s">
        <v>114</v>
      </c>
      <c r="F611" t="s">
        <v>85</v>
      </c>
      <c r="G611" t="s">
        <v>50</v>
      </c>
      <c r="H611" t="s">
        <v>147</v>
      </c>
      <c r="I611" t="s">
        <v>148</v>
      </c>
      <c r="J611" t="s">
        <v>39</v>
      </c>
      <c r="K611" t="s">
        <v>61</v>
      </c>
      <c r="L611" t="s">
        <v>1346</v>
      </c>
      <c r="M611" t="s">
        <v>55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31</v>
      </c>
      <c r="U611" t="s">
        <v>32</v>
      </c>
      <c r="V611">
        <f t="shared" si="37"/>
        <v>30362.359999999997</v>
      </c>
      <c r="W611">
        <f t="shared" si="38"/>
        <v>5296.9599999999955</v>
      </c>
      <c r="X611">
        <f t="shared" si="39"/>
        <v>17.445811195177175</v>
      </c>
      <c r="Y611">
        <f t="shared" si="40"/>
        <v>122</v>
      </c>
      <c r="Z611" t="str" cm="1">
        <f t="array" ref="Z611">_xlfn.IFS(Y611&lt;0, "Invalid Date", ISBLANK(G611), "Missing Region", TRUE, "Clean")</f>
        <v>Clean</v>
      </c>
    </row>
    <row r="612" spans="1:26">
      <c r="A612" t="s">
        <v>1347</v>
      </c>
      <c r="B612" s="4">
        <v>45432</v>
      </c>
      <c r="C612" s="6">
        <v>45432</v>
      </c>
      <c r="D612" t="s">
        <v>2542</v>
      </c>
      <c r="E612" t="s">
        <v>22</v>
      </c>
      <c r="F612" t="s">
        <v>85</v>
      </c>
      <c r="G612" t="s">
        <v>58</v>
      </c>
      <c r="H612" t="s">
        <v>66</v>
      </c>
      <c r="I612" t="s">
        <v>67</v>
      </c>
      <c r="J612" t="s">
        <v>39</v>
      </c>
      <c r="K612" t="s">
        <v>61</v>
      </c>
      <c r="L612" t="s">
        <v>1348</v>
      </c>
      <c r="M612" t="s">
        <v>55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31</v>
      </c>
      <c r="U612" t="s">
        <v>32</v>
      </c>
      <c r="V612">
        <f t="shared" si="37"/>
        <v>2729.6549999999997</v>
      </c>
      <c r="W612">
        <f t="shared" si="38"/>
        <v>1014.2949999999998</v>
      </c>
      <c r="X612">
        <f t="shared" si="39"/>
        <v>37.158358840219734</v>
      </c>
      <c r="Y612">
        <f t="shared" si="40"/>
        <v>0</v>
      </c>
      <c r="Z612" t="str" cm="1">
        <f t="array" ref="Z612">_xlfn.IFS(Y612&lt;0, "Invalid Date", ISBLANK(G612), "Missing Region", TRUE, "Clean")</f>
        <v>Clean</v>
      </c>
    </row>
    <row r="613" spans="1:26">
      <c r="A613" t="s">
        <v>1349</v>
      </c>
      <c r="B613" s="4">
        <v>45876</v>
      </c>
      <c r="C613" s="6">
        <v>45853</v>
      </c>
      <c r="D613" t="s">
        <v>2543</v>
      </c>
      <c r="E613" t="s">
        <v>57</v>
      </c>
      <c r="F613" t="s">
        <v>35</v>
      </c>
      <c r="G613" t="s">
        <v>24</v>
      </c>
      <c r="H613" t="s">
        <v>25</v>
      </c>
      <c r="I613" t="s">
        <v>26</v>
      </c>
      <c r="J613" t="s">
        <v>27</v>
      </c>
      <c r="K613" t="s">
        <v>130</v>
      </c>
      <c r="L613" t="s">
        <v>1350</v>
      </c>
      <c r="M613" t="s">
        <v>42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31</v>
      </c>
      <c r="U613" t="s">
        <v>32</v>
      </c>
      <c r="V613">
        <f t="shared" si="37"/>
        <v>4718.0159999999996</v>
      </c>
      <c r="W613">
        <f t="shared" si="38"/>
        <v>809.7859999999996</v>
      </c>
      <c r="X613">
        <f t="shared" si="39"/>
        <v>17.163697622051295</v>
      </c>
      <c r="Y613">
        <f t="shared" si="40"/>
        <v>-23</v>
      </c>
      <c r="Z613" t="str" cm="1">
        <f t="array" ref="Z613">_xlfn.IFS(Y613&lt;0, "Invalid Date", ISBLANK(G613), "Missing Region", TRUE, "Clean")</f>
        <v>Invalid Date</v>
      </c>
    </row>
    <row r="614" spans="1:26">
      <c r="A614" t="s">
        <v>1351</v>
      </c>
      <c r="B614" s="4">
        <v>45812</v>
      </c>
      <c r="C614" s="6">
        <v>45760</v>
      </c>
      <c r="D614" t="s">
        <v>2544</v>
      </c>
      <c r="E614" t="s">
        <v>80</v>
      </c>
      <c r="F614" t="s">
        <v>23</v>
      </c>
      <c r="G614" t="s">
        <v>2806</v>
      </c>
      <c r="H614" t="s">
        <v>37</v>
      </c>
      <c r="I614" t="s">
        <v>38</v>
      </c>
      <c r="J614" t="s">
        <v>68</v>
      </c>
      <c r="K614" t="s">
        <v>144</v>
      </c>
      <c r="L614" t="s">
        <v>1352</v>
      </c>
      <c r="M614" t="s">
        <v>55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31</v>
      </c>
      <c r="U614" t="s">
        <v>32</v>
      </c>
      <c r="V614">
        <f t="shared" si="37"/>
        <v>3844.01</v>
      </c>
      <c r="W614">
        <f t="shared" si="38"/>
        <v>1648.2200000000003</v>
      </c>
      <c r="X614">
        <f t="shared" si="39"/>
        <v>42.877619985379859</v>
      </c>
      <c r="Y614">
        <f t="shared" si="40"/>
        <v>-52</v>
      </c>
      <c r="Z614" t="str" cm="1">
        <f t="array" ref="Z614">_xlfn.IFS(Y614&lt;0, "Invalid Date", ISBLANK(G614), "Missing Region", TRUE, "Clean")</f>
        <v>Invalid Date</v>
      </c>
    </row>
    <row r="615" spans="1:26">
      <c r="A615" t="s">
        <v>1353</v>
      </c>
      <c r="B615" s="4">
        <v>45422</v>
      </c>
      <c r="C615" s="6">
        <v>45575</v>
      </c>
      <c r="D615" t="s">
        <v>2545</v>
      </c>
      <c r="E615" t="s">
        <v>137</v>
      </c>
      <c r="F615" t="s">
        <v>85</v>
      </c>
      <c r="G615" t="s">
        <v>58</v>
      </c>
      <c r="H615" t="s">
        <v>151</v>
      </c>
      <c r="I615" t="s">
        <v>152</v>
      </c>
      <c r="J615" t="s">
        <v>68</v>
      </c>
      <c r="K615" t="s">
        <v>219</v>
      </c>
      <c r="L615" t="s">
        <v>1354</v>
      </c>
      <c r="M615" t="s">
        <v>42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31</v>
      </c>
      <c r="U615" t="s">
        <v>32</v>
      </c>
      <c r="V615">
        <f t="shared" si="37"/>
        <v>22688.775000000001</v>
      </c>
      <c r="W615">
        <f t="shared" si="38"/>
        <v>8016.3650000000016</v>
      </c>
      <c r="X615">
        <f t="shared" si="39"/>
        <v>35.331854628555313</v>
      </c>
      <c r="Y615">
        <f t="shared" si="40"/>
        <v>153</v>
      </c>
      <c r="Z615" t="str" cm="1">
        <f t="array" ref="Z615">_xlfn.IFS(Y615&lt;0, "Invalid Date", ISBLANK(G615), "Missing Region", TRUE, "Clean")</f>
        <v>Clean</v>
      </c>
    </row>
    <row r="616" spans="1:26">
      <c r="A616" t="s">
        <v>1355</v>
      </c>
      <c r="B616" s="4">
        <v>45598</v>
      </c>
      <c r="C616" s="6">
        <v>45341</v>
      </c>
      <c r="D616" t="s">
        <v>2546</v>
      </c>
      <c r="E616" t="s">
        <v>57</v>
      </c>
      <c r="F616" t="s">
        <v>85</v>
      </c>
      <c r="G616" t="s">
        <v>50</v>
      </c>
      <c r="H616" t="s">
        <v>51</v>
      </c>
      <c r="I616" t="s">
        <v>52</v>
      </c>
      <c r="J616" t="s">
        <v>39</v>
      </c>
      <c r="K616" t="s">
        <v>61</v>
      </c>
      <c r="L616" t="s">
        <v>1356</v>
      </c>
      <c r="M616" t="s">
        <v>55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91</v>
      </c>
      <c r="U616" t="s">
        <v>63</v>
      </c>
      <c r="V616">
        <f t="shared" si="37"/>
        <v>20389.920000000002</v>
      </c>
      <c r="W616">
        <f t="shared" si="38"/>
        <v>3728.84</v>
      </c>
      <c r="X616">
        <f t="shared" si="39"/>
        <v>18.287663708342162</v>
      </c>
      <c r="Y616">
        <f t="shared" si="40"/>
        <v>-257</v>
      </c>
      <c r="Z616" t="str" cm="1">
        <f t="array" ref="Z616">_xlfn.IFS(Y616&lt;0, "Invalid Date", ISBLANK(G616), "Missing Region", TRUE, "Clean")</f>
        <v>Invalid Date</v>
      </c>
    </row>
    <row r="617" spans="1:26">
      <c r="A617" t="s">
        <v>1357</v>
      </c>
      <c r="B617" s="4">
        <v>45392</v>
      </c>
      <c r="C617" s="6">
        <v>45572</v>
      </c>
      <c r="D617" t="s">
        <v>2547</v>
      </c>
      <c r="E617" t="s">
        <v>103</v>
      </c>
      <c r="F617" t="s">
        <v>81</v>
      </c>
      <c r="G617" t="s">
        <v>50</v>
      </c>
      <c r="H617" t="s">
        <v>155</v>
      </c>
      <c r="I617" t="s">
        <v>156</v>
      </c>
      <c r="J617" t="s">
        <v>27</v>
      </c>
      <c r="K617" t="s">
        <v>45</v>
      </c>
      <c r="L617" t="s">
        <v>1358</v>
      </c>
      <c r="M617" t="s">
        <v>30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31</v>
      </c>
      <c r="U617" t="s">
        <v>32</v>
      </c>
      <c r="V617">
        <f t="shared" si="37"/>
        <v>5659.884</v>
      </c>
      <c r="W617">
        <f t="shared" si="38"/>
        <v>1322.0940000000001</v>
      </c>
      <c r="X617">
        <f t="shared" si="39"/>
        <v>23.359029973052454</v>
      </c>
      <c r="Y617">
        <f t="shared" si="40"/>
        <v>180</v>
      </c>
      <c r="Z617" t="str" cm="1">
        <f t="array" ref="Z617">_xlfn.IFS(Y617&lt;0, "Invalid Date", ISBLANK(G617), "Missing Region", TRUE, "Clean")</f>
        <v>Clean</v>
      </c>
    </row>
    <row r="618" spans="1:26">
      <c r="A618" t="s">
        <v>1359</v>
      </c>
      <c r="B618" s="4">
        <v>45520</v>
      </c>
      <c r="C618" s="6">
        <v>45523</v>
      </c>
      <c r="D618" t="s">
        <v>2548</v>
      </c>
      <c r="E618" t="s">
        <v>212</v>
      </c>
      <c r="F618" t="s">
        <v>23</v>
      </c>
      <c r="G618" t="s">
        <v>50</v>
      </c>
      <c r="H618" t="s">
        <v>51</v>
      </c>
      <c r="I618" t="s">
        <v>52</v>
      </c>
      <c r="J618" t="s">
        <v>27</v>
      </c>
      <c r="K618" t="s">
        <v>28</v>
      </c>
      <c r="L618" t="s">
        <v>1360</v>
      </c>
      <c r="M618" t="s">
        <v>55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31</v>
      </c>
      <c r="U618" t="s">
        <v>32</v>
      </c>
      <c r="V618">
        <f t="shared" si="37"/>
        <v>18842.640000000003</v>
      </c>
      <c r="W618">
        <f t="shared" si="38"/>
        <v>7002.0600000000031</v>
      </c>
      <c r="X618">
        <f t="shared" si="39"/>
        <v>37.160716332743192</v>
      </c>
      <c r="Y618">
        <f t="shared" si="40"/>
        <v>3</v>
      </c>
      <c r="Z618" t="str" cm="1">
        <f t="array" ref="Z618">_xlfn.IFS(Y618&lt;0, "Invalid Date", ISBLANK(G618), "Missing Region", TRUE, "Clean")</f>
        <v>Clean</v>
      </c>
    </row>
    <row r="619" spans="1:26">
      <c r="A619" t="s">
        <v>1361</v>
      </c>
      <c r="B619" s="4">
        <v>45564</v>
      </c>
      <c r="C619" s="6">
        <v>45565</v>
      </c>
      <c r="D619" t="s">
        <v>2549</v>
      </c>
      <c r="E619" t="s">
        <v>34</v>
      </c>
      <c r="F619" t="s">
        <v>85</v>
      </c>
      <c r="G619" t="s">
        <v>50</v>
      </c>
      <c r="H619" t="s">
        <v>51</v>
      </c>
      <c r="I619" t="s">
        <v>52</v>
      </c>
      <c r="J619" t="s">
        <v>68</v>
      </c>
      <c r="K619" t="s">
        <v>144</v>
      </c>
      <c r="L619" t="s">
        <v>1362</v>
      </c>
      <c r="M619" t="s">
        <v>55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31</v>
      </c>
      <c r="U619" t="s">
        <v>32</v>
      </c>
      <c r="V619">
        <f t="shared" si="37"/>
        <v>24677.19</v>
      </c>
      <c r="W619">
        <f t="shared" si="38"/>
        <v>4326.34</v>
      </c>
      <c r="X619">
        <f t="shared" si="39"/>
        <v>17.531736798233513</v>
      </c>
      <c r="Y619">
        <f t="shared" si="40"/>
        <v>1</v>
      </c>
      <c r="Z619" t="str" cm="1">
        <f t="array" ref="Z619">_xlfn.IFS(Y619&lt;0, "Invalid Date", ISBLANK(G619), "Missing Region", TRUE, "Clean")</f>
        <v>Clean</v>
      </c>
    </row>
    <row r="620" spans="1:26">
      <c r="A620" t="s">
        <v>1363</v>
      </c>
      <c r="B620" s="4">
        <v>45496</v>
      </c>
      <c r="C620" s="6">
        <v>45503</v>
      </c>
      <c r="D620" t="s">
        <v>2550</v>
      </c>
      <c r="E620" t="s">
        <v>212</v>
      </c>
      <c r="F620" t="s">
        <v>81</v>
      </c>
      <c r="G620" t="s">
        <v>24</v>
      </c>
      <c r="H620" t="s">
        <v>25</v>
      </c>
      <c r="I620" t="s">
        <v>26</v>
      </c>
      <c r="J620" t="s">
        <v>39</v>
      </c>
      <c r="K620" t="s">
        <v>40</v>
      </c>
      <c r="L620" t="s">
        <v>1364</v>
      </c>
      <c r="M620" t="s">
        <v>42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132</v>
      </c>
      <c r="U620" t="s">
        <v>63</v>
      </c>
      <c r="V620">
        <f t="shared" si="37"/>
        <v>12623.242499999998</v>
      </c>
      <c r="W620">
        <f t="shared" si="38"/>
        <v>2082.4424999999992</v>
      </c>
      <c r="X620">
        <f t="shared" si="39"/>
        <v>16.496890557239944</v>
      </c>
      <c r="Y620">
        <f t="shared" si="40"/>
        <v>7</v>
      </c>
      <c r="Z620" t="str" cm="1">
        <f t="array" ref="Z620">_xlfn.IFS(Y620&lt;0, "Invalid Date", ISBLANK(G620), "Missing Region", TRUE, "Clean")</f>
        <v>Clean</v>
      </c>
    </row>
    <row r="621" spans="1:26">
      <c r="A621" t="s">
        <v>1365</v>
      </c>
      <c r="B621" s="4">
        <v>45618</v>
      </c>
      <c r="C621" s="6">
        <v>45623</v>
      </c>
      <c r="D621" t="s">
        <v>2551</v>
      </c>
      <c r="E621" t="s">
        <v>100</v>
      </c>
      <c r="F621" t="s">
        <v>81</v>
      </c>
      <c r="G621" t="s">
        <v>50</v>
      </c>
      <c r="H621" t="s">
        <v>200</v>
      </c>
      <c r="I621" t="s">
        <v>201</v>
      </c>
      <c r="J621" t="s">
        <v>27</v>
      </c>
      <c r="K621" t="s">
        <v>130</v>
      </c>
      <c r="L621" t="s">
        <v>1366</v>
      </c>
      <c r="M621" t="s">
        <v>47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91</v>
      </c>
      <c r="U621" t="s">
        <v>92</v>
      </c>
      <c r="V621">
        <f t="shared" si="37"/>
        <v>3401.0080000000003</v>
      </c>
      <c r="W621">
        <f t="shared" si="38"/>
        <v>483.4680000000003</v>
      </c>
      <c r="X621">
        <f t="shared" si="39"/>
        <v>14.215432601158254</v>
      </c>
      <c r="Y621">
        <f t="shared" si="40"/>
        <v>5</v>
      </c>
      <c r="Z621" t="str" cm="1">
        <f t="array" ref="Z621">_xlfn.IFS(Y621&lt;0, "Invalid Date", ISBLANK(G621), "Missing Region", TRUE, "Clean")</f>
        <v>Clean</v>
      </c>
    </row>
    <row r="622" spans="1:26">
      <c r="A622" t="s">
        <v>1367</v>
      </c>
      <c r="B622" s="4">
        <v>45522</v>
      </c>
      <c r="C622" s="6">
        <v>45525</v>
      </c>
      <c r="D622" t="s">
        <v>2552</v>
      </c>
      <c r="E622" t="s">
        <v>65</v>
      </c>
      <c r="F622" t="s">
        <v>23</v>
      </c>
      <c r="G622" t="s">
        <v>24</v>
      </c>
      <c r="H622" t="s">
        <v>117</v>
      </c>
      <c r="I622" t="s">
        <v>118</v>
      </c>
      <c r="J622" t="s">
        <v>68</v>
      </c>
      <c r="K622" t="s">
        <v>219</v>
      </c>
      <c r="L622" t="s">
        <v>1368</v>
      </c>
      <c r="M622" t="s">
        <v>55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31</v>
      </c>
      <c r="U622" t="s">
        <v>32</v>
      </c>
      <c r="V622">
        <f t="shared" si="37"/>
        <v>6609.06</v>
      </c>
      <c r="W622">
        <f t="shared" si="38"/>
        <v>1662.2800000000007</v>
      </c>
      <c r="X622">
        <f t="shared" si="39"/>
        <v>25.151534408826681</v>
      </c>
      <c r="Y622">
        <f t="shared" si="40"/>
        <v>3</v>
      </c>
      <c r="Z622" t="str" cm="1">
        <f t="array" ref="Z622">_xlfn.IFS(Y622&lt;0, "Invalid Date", ISBLANK(G622), "Missing Region", TRUE, "Clean")</f>
        <v>Clean</v>
      </c>
    </row>
    <row r="623" spans="1:26">
      <c r="A623" t="s">
        <v>1369</v>
      </c>
      <c r="B623" s="4">
        <v>45624</v>
      </c>
      <c r="C623" s="6">
        <v>45455</v>
      </c>
      <c r="D623" t="s">
        <v>2553</v>
      </c>
      <c r="E623" t="s">
        <v>80</v>
      </c>
      <c r="F623" t="s">
        <v>23</v>
      </c>
      <c r="G623" t="s">
        <v>58</v>
      </c>
      <c r="H623" t="s">
        <v>59</v>
      </c>
      <c r="I623" t="s">
        <v>60</v>
      </c>
      <c r="J623" t="s">
        <v>39</v>
      </c>
      <c r="K623" t="s">
        <v>61</v>
      </c>
      <c r="L623" t="s">
        <v>1370</v>
      </c>
      <c r="M623" t="s">
        <v>42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31</v>
      </c>
      <c r="U623" t="s">
        <v>32</v>
      </c>
      <c r="V623">
        <f t="shared" si="37"/>
        <v>5464.2</v>
      </c>
      <c r="W623">
        <f t="shared" si="38"/>
        <v>2146.1099999999997</v>
      </c>
      <c r="X623">
        <f t="shared" si="39"/>
        <v>39.275831777753375</v>
      </c>
      <c r="Y623">
        <f t="shared" si="40"/>
        <v>-169</v>
      </c>
      <c r="Z623" t="str" cm="1">
        <f t="array" ref="Z623">_xlfn.IFS(Y623&lt;0, "Invalid Date", ISBLANK(G623), "Missing Region", TRUE, "Clean")</f>
        <v>Invalid Date</v>
      </c>
    </row>
    <row r="624" spans="1:26">
      <c r="A624" t="s">
        <v>1371</v>
      </c>
      <c r="B624" s="4">
        <v>45686</v>
      </c>
      <c r="C624" s="6">
        <v>45810</v>
      </c>
      <c r="D624" t="s">
        <v>2554</v>
      </c>
      <c r="E624" t="s">
        <v>65</v>
      </c>
      <c r="F624" t="s">
        <v>23</v>
      </c>
      <c r="G624" t="s">
        <v>36</v>
      </c>
      <c r="H624" t="s">
        <v>124</v>
      </c>
      <c r="I624" t="s">
        <v>125</v>
      </c>
      <c r="J624" t="s">
        <v>27</v>
      </c>
      <c r="K624" t="s">
        <v>108</v>
      </c>
      <c r="L624" t="s">
        <v>1372</v>
      </c>
      <c r="M624" t="s">
        <v>55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31</v>
      </c>
      <c r="U624" t="s">
        <v>32</v>
      </c>
      <c r="V624">
        <f t="shared" si="37"/>
        <v>10484.238000000001</v>
      </c>
      <c r="W624">
        <f t="shared" si="38"/>
        <v>3804.0880000000016</v>
      </c>
      <c r="X624">
        <f t="shared" si="39"/>
        <v>36.283876806306772</v>
      </c>
      <c r="Y624">
        <f t="shared" si="40"/>
        <v>124</v>
      </c>
      <c r="Z624" t="str" cm="1">
        <f t="array" ref="Z624">_xlfn.IFS(Y624&lt;0, "Invalid Date", ISBLANK(G624), "Missing Region", TRUE, "Clean")</f>
        <v>Clean</v>
      </c>
    </row>
    <row r="625" spans="1:26">
      <c r="A625" t="s">
        <v>1373</v>
      </c>
      <c r="B625" s="4">
        <v>45512</v>
      </c>
      <c r="C625" s="6">
        <v>45518</v>
      </c>
      <c r="D625" t="s">
        <v>2555</v>
      </c>
      <c r="E625" t="s">
        <v>65</v>
      </c>
      <c r="F625" t="s">
        <v>85</v>
      </c>
      <c r="G625" t="s">
        <v>24</v>
      </c>
      <c r="H625" t="s">
        <v>106</v>
      </c>
      <c r="I625" t="s">
        <v>107</v>
      </c>
      <c r="J625" t="s">
        <v>27</v>
      </c>
      <c r="K625" t="s">
        <v>108</v>
      </c>
      <c r="L625" t="s">
        <v>1374</v>
      </c>
      <c r="M625" t="s">
        <v>30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31</v>
      </c>
      <c r="U625" t="s">
        <v>32</v>
      </c>
      <c r="V625">
        <f t="shared" si="37"/>
        <v>10329.843999999999</v>
      </c>
      <c r="W625">
        <f t="shared" si="38"/>
        <v>2817.6239999999989</v>
      </c>
      <c r="X625">
        <f t="shared" si="39"/>
        <v>27.27653970379416</v>
      </c>
      <c r="Y625">
        <f t="shared" si="40"/>
        <v>6</v>
      </c>
      <c r="Z625" t="str" cm="1">
        <f t="array" ref="Z625">_xlfn.IFS(Y625&lt;0, "Invalid Date", ISBLANK(G625), "Missing Region", TRUE, "Clean")</f>
        <v>Clean</v>
      </c>
    </row>
    <row r="626" spans="1:26">
      <c r="A626" t="s">
        <v>1375</v>
      </c>
      <c r="B626" s="4">
        <v>45321</v>
      </c>
      <c r="C626" s="6">
        <v>45293</v>
      </c>
      <c r="D626" t="s">
        <v>2556</v>
      </c>
      <c r="E626" t="s">
        <v>72</v>
      </c>
      <c r="F626" t="s">
        <v>85</v>
      </c>
      <c r="G626" t="s">
        <v>36</v>
      </c>
      <c r="H626" t="s">
        <v>140</v>
      </c>
      <c r="I626" t="s">
        <v>141</v>
      </c>
      <c r="J626" t="s">
        <v>39</v>
      </c>
      <c r="K626" t="s">
        <v>61</v>
      </c>
      <c r="L626" t="s">
        <v>1376</v>
      </c>
      <c r="M626" t="s">
        <v>47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31</v>
      </c>
      <c r="U626" t="s">
        <v>32</v>
      </c>
      <c r="V626">
        <f t="shared" si="37"/>
        <v>8456.9569999999985</v>
      </c>
      <c r="W626">
        <f t="shared" si="38"/>
        <v>2994.1069999999982</v>
      </c>
      <c r="X626">
        <f t="shared" si="39"/>
        <v>35.4040702820175</v>
      </c>
      <c r="Y626">
        <f t="shared" si="40"/>
        <v>-28</v>
      </c>
      <c r="Z626" t="str" cm="1">
        <f t="array" ref="Z626">_xlfn.IFS(Y626&lt;0, "Invalid Date", ISBLANK(G626), "Missing Region", TRUE, "Clean")</f>
        <v>Invalid Date</v>
      </c>
    </row>
    <row r="627" spans="1:26">
      <c r="A627" t="s">
        <v>1377</v>
      </c>
      <c r="B627" s="4">
        <v>45641</v>
      </c>
      <c r="C627" s="6">
        <v>45647</v>
      </c>
      <c r="D627" t="s">
        <v>2557</v>
      </c>
      <c r="E627" t="s">
        <v>137</v>
      </c>
      <c r="F627" t="s">
        <v>81</v>
      </c>
      <c r="G627" t="s">
        <v>58</v>
      </c>
      <c r="H627" t="s">
        <v>25</v>
      </c>
      <c r="I627" t="s">
        <v>96</v>
      </c>
      <c r="J627" t="s">
        <v>39</v>
      </c>
      <c r="K627" t="s">
        <v>61</v>
      </c>
      <c r="L627" t="s">
        <v>1378</v>
      </c>
      <c r="M627" t="s">
        <v>42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31</v>
      </c>
      <c r="U627" t="s">
        <v>32</v>
      </c>
      <c r="V627">
        <f t="shared" si="37"/>
        <v>1266.4079999999999</v>
      </c>
      <c r="W627">
        <f t="shared" si="38"/>
        <v>282.48799999999994</v>
      </c>
      <c r="X627">
        <f t="shared" si="39"/>
        <v>22.306239379410108</v>
      </c>
      <c r="Y627">
        <f t="shared" si="40"/>
        <v>6</v>
      </c>
      <c r="Z627" t="str" cm="1">
        <f t="array" ref="Z627">_xlfn.IFS(Y627&lt;0, "Invalid Date", ISBLANK(G627), "Missing Region", TRUE, "Clean")</f>
        <v>Clean</v>
      </c>
    </row>
    <row r="628" spans="1:26">
      <c r="A628" t="s">
        <v>1379</v>
      </c>
      <c r="B628" s="4">
        <v>45753</v>
      </c>
      <c r="C628" s="6">
        <v>45815</v>
      </c>
      <c r="D628" t="s">
        <v>2558</v>
      </c>
      <c r="E628" t="s">
        <v>114</v>
      </c>
      <c r="F628" t="s">
        <v>85</v>
      </c>
      <c r="G628" t="s">
        <v>36</v>
      </c>
      <c r="H628" t="s">
        <v>140</v>
      </c>
      <c r="I628" t="s">
        <v>141</v>
      </c>
      <c r="J628" t="s">
        <v>68</v>
      </c>
      <c r="K628" t="s">
        <v>219</v>
      </c>
      <c r="L628" t="s">
        <v>1380</v>
      </c>
      <c r="M628" t="s">
        <v>55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98</v>
      </c>
      <c r="U628" t="s">
        <v>92</v>
      </c>
      <c r="V628">
        <f t="shared" si="37"/>
        <v>11473.04</v>
      </c>
      <c r="W628">
        <f t="shared" si="38"/>
        <v>2541.7100000000009</v>
      </c>
      <c r="X628">
        <f t="shared" si="39"/>
        <v>22.153762211236085</v>
      </c>
      <c r="Y628">
        <f t="shared" si="40"/>
        <v>62</v>
      </c>
      <c r="Z628" t="str" cm="1">
        <f t="array" ref="Z628">_xlfn.IFS(Y628&lt;0, "Invalid Date", ISBLANK(G628), "Missing Region", TRUE, "Clean")</f>
        <v>Clean</v>
      </c>
    </row>
    <row r="629" spans="1:26">
      <c r="A629" t="s">
        <v>1381</v>
      </c>
      <c r="B629" s="4">
        <v>45701</v>
      </c>
      <c r="C629" s="6">
        <v>45709</v>
      </c>
      <c r="D629" t="s">
        <v>2559</v>
      </c>
      <c r="E629" t="s">
        <v>22</v>
      </c>
      <c r="F629" t="s">
        <v>35</v>
      </c>
      <c r="G629" t="s">
        <v>50</v>
      </c>
      <c r="H629" t="s">
        <v>155</v>
      </c>
      <c r="I629" t="s">
        <v>156</v>
      </c>
      <c r="J629" t="s">
        <v>68</v>
      </c>
      <c r="K629" t="s">
        <v>144</v>
      </c>
      <c r="L629" t="s">
        <v>1382</v>
      </c>
      <c r="M629" t="s">
        <v>30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98</v>
      </c>
      <c r="U629" t="s">
        <v>63</v>
      </c>
      <c r="V629">
        <f t="shared" si="37"/>
        <v>4012.0339999999997</v>
      </c>
      <c r="W629">
        <f t="shared" si="38"/>
        <v>869.11399999999958</v>
      </c>
      <c r="X629">
        <f t="shared" si="39"/>
        <v>21.662677833737192</v>
      </c>
      <c r="Y629">
        <f t="shared" si="40"/>
        <v>8</v>
      </c>
      <c r="Z629" t="str" cm="1">
        <f t="array" ref="Z629">_xlfn.IFS(Y629&lt;0, "Invalid Date", ISBLANK(G629), "Missing Region", TRUE, "Clean")</f>
        <v>Clean</v>
      </c>
    </row>
    <row r="630" spans="1:26">
      <c r="A630" t="s">
        <v>1383</v>
      </c>
      <c r="B630" s="4">
        <v>45787</v>
      </c>
      <c r="C630" s="6">
        <v>46001</v>
      </c>
      <c r="D630" t="s">
        <v>2560</v>
      </c>
      <c r="E630" t="s">
        <v>57</v>
      </c>
      <c r="F630" t="s">
        <v>85</v>
      </c>
      <c r="G630" t="s">
        <v>36</v>
      </c>
      <c r="H630" t="s">
        <v>186</v>
      </c>
      <c r="I630" t="s">
        <v>187</v>
      </c>
      <c r="J630" t="s">
        <v>68</v>
      </c>
      <c r="K630" t="s">
        <v>69</v>
      </c>
      <c r="L630" t="s">
        <v>1384</v>
      </c>
      <c r="M630" t="s">
        <v>42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31</v>
      </c>
      <c r="U630" t="s">
        <v>32</v>
      </c>
      <c r="V630">
        <f t="shared" si="37"/>
        <v>5364.3554999999997</v>
      </c>
      <c r="W630">
        <f t="shared" si="38"/>
        <v>973.0654999999997</v>
      </c>
      <c r="X630">
        <f t="shared" si="39"/>
        <v>18.139467080434915</v>
      </c>
      <c r="Y630">
        <f t="shared" si="40"/>
        <v>214</v>
      </c>
      <c r="Z630" t="str" cm="1">
        <f t="array" ref="Z630">_xlfn.IFS(Y630&lt;0, "Invalid Date", ISBLANK(G630), "Missing Region", TRUE, "Clean")</f>
        <v>Clean</v>
      </c>
    </row>
    <row r="631" spans="1:26">
      <c r="A631" t="s">
        <v>1385</v>
      </c>
      <c r="B631" s="4">
        <v>45910</v>
      </c>
      <c r="C631" s="6">
        <v>45914</v>
      </c>
      <c r="D631" t="s">
        <v>2561</v>
      </c>
      <c r="E631" t="s">
        <v>49</v>
      </c>
      <c r="F631" t="s">
        <v>85</v>
      </c>
      <c r="G631" t="s">
        <v>58</v>
      </c>
      <c r="H631" t="s">
        <v>151</v>
      </c>
      <c r="I631" t="s">
        <v>152</v>
      </c>
      <c r="J631" t="s">
        <v>39</v>
      </c>
      <c r="K631" t="s">
        <v>40</v>
      </c>
      <c r="L631" t="s">
        <v>1386</v>
      </c>
      <c r="M631" t="s">
        <v>42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31</v>
      </c>
      <c r="U631" t="s">
        <v>32</v>
      </c>
      <c r="V631">
        <f t="shared" si="37"/>
        <v>10706.073</v>
      </c>
      <c r="W631">
        <f t="shared" si="38"/>
        <v>4778.973</v>
      </c>
      <c r="X631">
        <f t="shared" si="39"/>
        <v>44.637963892082553</v>
      </c>
      <c r="Y631">
        <f t="shared" si="40"/>
        <v>4</v>
      </c>
      <c r="Z631" t="str" cm="1">
        <f t="array" ref="Z631">_xlfn.IFS(Y631&lt;0, "Invalid Date", ISBLANK(G631), "Missing Region", TRUE, "Clean")</f>
        <v>Clean</v>
      </c>
    </row>
    <row r="632" spans="1:26">
      <c r="A632" t="s">
        <v>1387</v>
      </c>
      <c r="B632" s="4">
        <v>45539</v>
      </c>
      <c r="C632" s="6">
        <v>45569</v>
      </c>
      <c r="D632" t="s">
        <v>2562</v>
      </c>
      <c r="E632" t="s">
        <v>100</v>
      </c>
      <c r="F632" t="s">
        <v>81</v>
      </c>
      <c r="G632" t="s">
        <v>36</v>
      </c>
      <c r="H632" t="s">
        <v>140</v>
      </c>
      <c r="I632" t="s">
        <v>141</v>
      </c>
      <c r="J632" t="s">
        <v>27</v>
      </c>
      <c r="K632" t="s">
        <v>28</v>
      </c>
      <c r="L632" t="s">
        <v>1388</v>
      </c>
      <c r="M632" t="s">
        <v>55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31</v>
      </c>
      <c r="U632" t="s">
        <v>32</v>
      </c>
      <c r="V632">
        <f t="shared" si="37"/>
        <v>10969.380000000001</v>
      </c>
      <c r="W632">
        <f t="shared" si="38"/>
        <v>1714.9200000000019</v>
      </c>
      <c r="X632">
        <f t="shared" si="39"/>
        <v>15.633700354988173</v>
      </c>
      <c r="Y632">
        <f t="shared" si="40"/>
        <v>30</v>
      </c>
      <c r="Z632" t="str" cm="1">
        <f t="array" ref="Z632">_xlfn.IFS(Y632&lt;0, "Invalid Date", ISBLANK(G632), "Missing Region", TRUE, "Clean")</f>
        <v>Clean</v>
      </c>
    </row>
    <row r="633" spans="1:26">
      <c r="A633" t="s">
        <v>1389</v>
      </c>
      <c r="B633" s="4">
        <v>45569</v>
      </c>
      <c r="C633" s="6">
        <v>45397</v>
      </c>
      <c r="D633" t="s">
        <v>2563</v>
      </c>
      <c r="E633" t="s">
        <v>111</v>
      </c>
      <c r="F633" t="s">
        <v>85</v>
      </c>
      <c r="G633" t="s">
        <v>58</v>
      </c>
      <c r="H633" t="s">
        <v>25</v>
      </c>
      <c r="I633" t="s">
        <v>96</v>
      </c>
      <c r="J633" t="s">
        <v>39</v>
      </c>
      <c r="K633" t="s">
        <v>61</v>
      </c>
      <c r="L633" t="s">
        <v>1390</v>
      </c>
      <c r="M633" t="s">
        <v>55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31</v>
      </c>
      <c r="U633" t="s">
        <v>32</v>
      </c>
      <c r="V633">
        <f t="shared" si="37"/>
        <v>31409.855999999996</v>
      </c>
      <c r="W633">
        <f t="shared" si="38"/>
        <v>8886.3159999999953</v>
      </c>
      <c r="X633">
        <f t="shared" si="39"/>
        <v>28.29148914277097</v>
      </c>
      <c r="Y633">
        <f t="shared" si="40"/>
        <v>-172</v>
      </c>
      <c r="Z633" t="str" cm="1">
        <f t="array" ref="Z633">_xlfn.IFS(Y633&lt;0, "Invalid Date", ISBLANK(G633), "Missing Region", TRUE, "Clean")</f>
        <v>Invalid Date</v>
      </c>
    </row>
    <row r="634" spans="1:26">
      <c r="A634" t="s">
        <v>1391</v>
      </c>
      <c r="B634" s="4">
        <v>45762</v>
      </c>
      <c r="C634" s="6">
        <v>45763</v>
      </c>
      <c r="D634" t="s">
        <v>2564</v>
      </c>
      <c r="E634" t="s">
        <v>114</v>
      </c>
      <c r="F634" t="s">
        <v>35</v>
      </c>
      <c r="G634" t="s">
        <v>50</v>
      </c>
      <c r="H634" t="s">
        <v>147</v>
      </c>
      <c r="I634" t="s">
        <v>148</v>
      </c>
      <c r="J634" t="s">
        <v>39</v>
      </c>
      <c r="K634" t="s">
        <v>53</v>
      </c>
      <c r="L634" t="s">
        <v>1392</v>
      </c>
      <c r="M634" t="s">
        <v>47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31</v>
      </c>
      <c r="U634" t="s">
        <v>32</v>
      </c>
      <c r="V634">
        <f t="shared" si="37"/>
        <v>14252.650000000001</v>
      </c>
      <c r="W634">
        <f t="shared" si="38"/>
        <v>2694.340000000002</v>
      </c>
      <c r="X634">
        <f t="shared" si="39"/>
        <v>18.904133617257155</v>
      </c>
      <c r="Y634">
        <f t="shared" si="40"/>
        <v>1</v>
      </c>
      <c r="Z634" t="str" cm="1">
        <f t="array" ref="Z634">_xlfn.IFS(Y634&lt;0, "Invalid Date", ISBLANK(G634), "Missing Region", TRUE, "Clean")</f>
        <v>Clean</v>
      </c>
    </row>
    <row r="635" spans="1:26">
      <c r="A635" t="s">
        <v>1393</v>
      </c>
      <c r="B635" s="4">
        <v>45765</v>
      </c>
      <c r="C635" s="6">
        <v>45767</v>
      </c>
      <c r="D635" t="s">
        <v>2565</v>
      </c>
      <c r="E635" t="s">
        <v>111</v>
      </c>
      <c r="F635" t="s">
        <v>35</v>
      </c>
      <c r="G635" t="s">
        <v>50</v>
      </c>
      <c r="H635" t="s">
        <v>200</v>
      </c>
      <c r="I635" t="s">
        <v>201</v>
      </c>
      <c r="J635" t="s">
        <v>68</v>
      </c>
      <c r="K635" t="s">
        <v>69</v>
      </c>
      <c r="L635" t="s">
        <v>1394</v>
      </c>
      <c r="M635" t="s">
        <v>30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31</v>
      </c>
      <c r="U635" t="s">
        <v>32</v>
      </c>
      <c r="V635">
        <f t="shared" si="37"/>
        <v>1382.1679999999999</v>
      </c>
      <c r="W635">
        <f t="shared" si="38"/>
        <v>572.13799999999992</v>
      </c>
      <c r="X635">
        <f t="shared" si="39"/>
        <v>41.394244404442873</v>
      </c>
      <c r="Y635">
        <f t="shared" si="40"/>
        <v>2</v>
      </c>
      <c r="Z635" t="str" cm="1">
        <f t="array" ref="Z635">_xlfn.IFS(Y635&lt;0, "Invalid Date", ISBLANK(G635), "Missing Region", TRUE, "Clean")</f>
        <v>Clean</v>
      </c>
    </row>
    <row r="636" spans="1:26">
      <c r="A636" t="s">
        <v>1395</v>
      </c>
      <c r="B636" s="4">
        <v>45668</v>
      </c>
      <c r="C636" s="6">
        <v>45992</v>
      </c>
      <c r="D636" t="s">
        <v>2566</v>
      </c>
      <c r="E636" t="s">
        <v>80</v>
      </c>
      <c r="F636" t="s">
        <v>23</v>
      </c>
      <c r="G636" t="s">
        <v>50</v>
      </c>
      <c r="H636" t="s">
        <v>51</v>
      </c>
      <c r="I636" t="s">
        <v>52</v>
      </c>
      <c r="J636" t="s">
        <v>39</v>
      </c>
      <c r="K636" t="s">
        <v>61</v>
      </c>
      <c r="L636" t="s">
        <v>1396</v>
      </c>
      <c r="M636" t="s">
        <v>30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31</v>
      </c>
      <c r="U636" t="s">
        <v>32</v>
      </c>
      <c r="V636">
        <f t="shared" si="37"/>
        <v>9223.17</v>
      </c>
      <c r="W636">
        <f t="shared" si="38"/>
        <v>4119.47</v>
      </c>
      <c r="X636">
        <f t="shared" si="39"/>
        <v>44.664361602355804</v>
      </c>
      <c r="Y636">
        <f t="shared" si="40"/>
        <v>324</v>
      </c>
      <c r="Z636" t="str" cm="1">
        <f t="array" ref="Z636">_xlfn.IFS(Y636&lt;0, "Invalid Date", ISBLANK(G636), "Missing Region", TRUE, "Clean")</f>
        <v>Clean</v>
      </c>
    </row>
    <row r="637" spans="1:26">
      <c r="A637" t="s">
        <v>1397</v>
      </c>
      <c r="B637" s="4">
        <v>45432</v>
      </c>
      <c r="C637" s="6">
        <v>45437</v>
      </c>
      <c r="D637" t="s">
        <v>2567</v>
      </c>
      <c r="E637" t="s">
        <v>34</v>
      </c>
      <c r="F637" t="s">
        <v>81</v>
      </c>
      <c r="G637" t="s">
        <v>50</v>
      </c>
      <c r="H637" t="s">
        <v>76</v>
      </c>
      <c r="I637" t="s">
        <v>77</v>
      </c>
      <c r="J637" t="s">
        <v>39</v>
      </c>
      <c r="K637" t="s">
        <v>61</v>
      </c>
      <c r="L637" t="s">
        <v>1398</v>
      </c>
      <c r="M637" t="s">
        <v>42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31</v>
      </c>
      <c r="U637" t="s">
        <v>32</v>
      </c>
      <c r="V637">
        <f t="shared" si="37"/>
        <v>16394.962500000001</v>
      </c>
      <c r="W637">
        <f t="shared" si="38"/>
        <v>5990.7925000000014</v>
      </c>
      <c r="X637">
        <f t="shared" si="39"/>
        <v>36.540446493854446</v>
      </c>
      <c r="Y637">
        <f t="shared" si="40"/>
        <v>5</v>
      </c>
      <c r="Z637" t="str" cm="1">
        <f t="array" ref="Z637">_xlfn.IFS(Y637&lt;0, "Invalid Date", ISBLANK(G637), "Missing Region", TRUE, "Clean")</f>
        <v>Clean</v>
      </c>
    </row>
    <row r="638" spans="1:26">
      <c r="A638" t="s">
        <v>1399</v>
      </c>
      <c r="B638" s="4">
        <v>45332</v>
      </c>
      <c r="C638" s="6">
        <v>45545</v>
      </c>
      <c r="D638" t="s">
        <v>2568</v>
      </c>
      <c r="E638" t="s">
        <v>57</v>
      </c>
      <c r="F638" t="s">
        <v>23</v>
      </c>
      <c r="G638" t="s">
        <v>50</v>
      </c>
      <c r="H638" t="s">
        <v>200</v>
      </c>
      <c r="I638" t="s">
        <v>201</v>
      </c>
      <c r="J638" t="s">
        <v>27</v>
      </c>
      <c r="K638" t="s">
        <v>28</v>
      </c>
      <c r="L638" t="s">
        <v>1400</v>
      </c>
      <c r="M638" t="s">
        <v>55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31</v>
      </c>
      <c r="U638" t="s">
        <v>32</v>
      </c>
      <c r="V638">
        <f t="shared" si="37"/>
        <v>12990.108</v>
      </c>
      <c r="W638">
        <f t="shared" si="38"/>
        <v>2789.3080000000009</v>
      </c>
      <c r="X638">
        <f t="shared" si="39"/>
        <v>21.47255434673831</v>
      </c>
      <c r="Y638">
        <f t="shared" si="40"/>
        <v>213</v>
      </c>
      <c r="Z638" t="str" cm="1">
        <f t="array" ref="Z638">_xlfn.IFS(Y638&lt;0, "Invalid Date", ISBLANK(G638), "Missing Region", TRUE, "Clean")</f>
        <v>Clean</v>
      </c>
    </row>
    <row r="639" spans="1:26">
      <c r="A639" t="s">
        <v>1401</v>
      </c>
      <c r="B639" s="4">
        <v>45438</v>
      </c>
      <c r="C639" s="6">
        <v>45438</v>
      </c>
      <c r="D639" t="s">
        <v>2569</v>
      </c>
      <c r="E639" t="s">
        <v>103</v>
      </c>
      <c r="F639" t="s">
        <v>35</v>
      </c>
      <c r="G639" t="s">
        <v>58</v>
      </c>
      <c r="H639" t="s">
        <v>159</v>
      </c>
      <c r="I639" t="s">
        <v>160</v>
      </c>
      <c r="J639" t="s">
        <v>68</v>
      </c>
      <c r="K639" t="s">
        <v>73</v>
      </c>
      <c r="L639" t="s">
        <v>1402</v>
      </c>
      <c r="M639" t="s">
        <v>47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31</v>
      </c>
      <c r="U639" t="s">
        <v>32</v>
      </c>
      <c r="V639">
        <f t="shared" si="37"/>
        <v>5107.9520000000002</v>
      </c>
      <c r="W639">
        <f t="shared" si="38"/>
        <v>1974.8720000000003</v>
      </c>
      <c r="X639">
        <f t="shared" si="39"/>
        <v>38.6626969086632</v>
      </c>
      <c r="Y639">
        <f t="shared" si="40"/>
        <v>0</v>
      </c>
      <c r="Z639" t="str" cm="1">
        <f t="array" ref="Z639">_xlfn.IFS(Y639&lt;0, "Invalid Date", ISBLANK(G639), "Missing Region", TRUE, "Clean")</f>
        <v>Clean</v>
      </c>
    </row>
    <row r="640" spans="1:26">
      <c r="A640" t="s">
        <v>1403</v>
      </c>
      <c r="B640" s="4">
        <v>45317</v>
      </c>
      <c r="C640" s="6">
        <v>45322</v>
      </c>
      <c r="D640" t="s">
        <v>2570</v>
      </c>
      <c r="E640" t="s">
        <v>22</v>
      </c>
      <c r="F640" t="s">
        <v>81</v>
      </c>
      <c r="G640" t="s">
        <v>50</v>
      </c>
      <c r="H640" t="s">
        <v>155</v>
      </c>
      <c r="I640" t="s">
        <v>156</v>
      </c>
      <c r="J640" t="s">
        <v>27</v>
      </c>
      <c r="K640" t="s">
        <v>108</v>
      </c>
      <c r="L640" t="s">
        <v>1404</v>
      </c>
      <c r="M640" t="s">
        <v>30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132</v>
      </c>
      <c r="U640" t="s">
        <v>92</v>
      </c>
      <c r="V640">
        <f t="shared" si="37"/>
        <v>7738.3680000000013</v>
      </c>
      <c r="W640">
        <f t="shared" si="38"/>
        <v>3111.5180000000009</v>
      </c>
      <c r="X640">
        <f t="shared" si="39"/>
        <v>40.208969126306741</v>
      </c>
      <c r="Y640">
        <f t="shared" si="40"/>
        <v>5</v>
      </c>
      <c r="Z640" t="str" cm="1">
        <f t="array" ref="Z640">_xlfn.IFS(Y640&lt;0, "Invalid Date", ISBLANK(G640), "Missing Region", TRUE, "Clean")</f>
        <v>Clean</v>
      </c>
    </row>
    <row r="641" spans="1:26">
      <c r="A641" t="s">
        <v>1405</v>
      </c>
      <c r="B641" s="4">
        <v>45653</v>
      </c>
      <c r="C641" s="6">
        <v>45657</v>
      </c>
      <c r="D641" t="s">
        <v>2571</v>
      </c>
      <c r="E641" t="s">
        <v>44</v>
      </c>
      <c r="F641" t="s">
        <v>35</v>
      </c>
      <c r="G641" t="s">
        <v>36</v>
      </c>
      <c r="H641" t="s">
        <v>37</v>
      </c>
      <c r="I641" t="s">
        <v>38</v>
      </c>
      <c r="J641" t="s">
        <v>39</v>
      </c>
      <c r="K641" t="s">
        <v>61</v>
      </c>
      <c r="L641" t="s">
        <v>1406</v>
      </c>
      <c r="M641" t="s">
        <v>30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31</v>
      </c>
      <c r="U641" t="s">
        <v>32</v>
      </c>
      <c r="V641">
        <f t="shared" si="37"/>
        <v>1514.9649999999999</v>
      </c>
      <c r="W641">
        <f t="shared" si="38"/>
        <v>468.79499999999985</v>
      </c>
      <c r="X641">
        <f t="shared" si="39"/>
        <v>30.944279240774531</v>
      </c>
      <c r="Y641">
        <f t="shared" si="40"/>
        <v>4</v>
      </c>
      <c r="Z641" t="str" cm="1">
        <f t="array" ref="Z641">_xlfn.IFS(Y641&lt;0, "Invalid Date", ISBLANK(G641), "Missing Region", TRUE, "Clean")</f>
        <v>Clean</v>
      </c>
    </row>
    <row r="642" spans="1:26">
      <c r="A642" t="s">
        <v>1407</v>
      </c>
      <c r="B642" s="4">
        <v>45671</v>
      </c>
      <c r="C642" s="6">
        <v>45674</v>
      </c>
      <c r="D642" t="s">
        <v>2572</v>
      </c>
      <c r="E642" t="s">
        <v>65</v>
      </c>
      <c r="F642" t="s">
        <v>23</v>
      </c>
      <c r="G642" t="s">
        <v>58</v>
      </c>
      <c r="H642" t="s">
        <v>159</v>
      </c>
      <c r="I642" t="s">
        <v>160</v>
      </c>
      <c r="J642" t="s">
        <v>27</v>
      </c>
      <c r="K642" t="s">
        <v>108</v>
      </c>
      <c r="L642" t="s">
        <v>1408</v>
      </c>
      <c r="M642" t="s">
        <v>47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31</v>
      </c>
      <c r="U642" t="s">
        <v>32</v>
      </c>
      <c r="V642">
        <f t="shared" si="37"/>
        <v>1267.296</v>
      </c>
      <c r="W642">
        <f t="shared" si="38"/>
        <v>343.76600000000008</v>
      </c>
      <c r="X642">
        <f t="shared" si="39"/>
        <v>27.125943741635737</v>
      </c>
      <c r="Y642">
        <f t="shared" si="40"/>
        <v>3</v>
      </c>
      <c r="Z642" t="str" cm="1">
        <f t="array" ref="Z642">_xlfn.IFS(Y642&lt;0, "Invalid Date", ISBLANK(G642), "Missing Region", TRUE, "Clean")</f>
        <v>Clean</v>
      </c>
    </row>
    <row r="643" spans="1:26">
      <c r="A643" t="s">
        <v>1409</v>
      </c>
      <c r="B643" s="4">
        <v>45904</v>
      </c>
      <c r="C643" s="6">
        <v>45761</v>
      </c>
      <c r="D643" t="s">
        <v>2573</v>
      </c>
      <c r="E643" t="s">
        <v>22</v>
      </c>
      <c r="F643" t="s">
        <v>23</v>
      </c>
      <c r="G643" t="s">
        <v>24</v>
      </c>
      <c r="H643" t="s">
        <v>270</v>
      </c>
      <c r="I643" t="s">
        <v>271</v>
      </c>
      <c r="J643" t="s">
        <v>39</v>
      </c>
      <c r="K643" t="s">
        <v>53</v>
      </c>
      <c r="L643" t="s">
        <v>1410</v>
      </c>
      <c r="M643" t="s">
        <v>42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31</v>
      </c>
      <c r="U643" t="s">
        <v>32</v>
      </c>
      <c r="V643">
        <f t="shared" ref="V643:V706" si="41">N643*O643*(1- P643)</f>
        <v>6405.74</v>
      </c>
      <c r="W643">
        <f t="shared" ref="W643:W706" si="42">V643-R643</f>
        <v>2843.87</v>
      </c>
      <c r="X643">
        <f t="shared" ref="X643:X706" si="43">W643/V643*100</f>
        <v>44.395651400150484</v>
      </c>
      <c r="Y643">
        <f t="shared" si="40"/>
        <v>-143</v>
      </c>
      <c r="Z643" t="str" cm="1">
        <f t="array" ref="Z643">_xlfn.IFS(Y643&lt;0, "Invalid Date", ISBLANK(G643), "Missing Region", TRUE, "Clean")</f>
        <v>Invalid Date</v>
      </c>
    </row>
    <row r="644" spans="1:26">
      <c r="A644" t="s">
        <v>1411</v>
      </c>
      <c r="B644" s="4">
        <v>45533</v>
      </c>
      <c r="C644" s="6">
        <v>45535</v>
      </c>
      <c r="D644" t="s">
        <v>2151</v>
      </c>
      <c r="E644" t="s">
        <v>44</v>
      </c>
      <c r="F644" t="s">
        <v>85</v>
      </c>
      <c r="G644" t="s">
        <v>36</v>
      </c>
      <c r="H644" t="s">
        <v>140</v>
      </c>
      <c r="I644" t="s">
        <v>141</v>
      </c>
      <c r="J644" t="s">
        <v>27</v>
      </c>
      <c r="K644" t="s">
        <v>1412</v>
      </c>
      <c r="L644" t="s">
        <v>1413</v>
      </c>
      <c r="M644" t="s">
        <v>30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132</v>
      </c>
      <c r="U644" t="s">
        <v>92</v>
      </c>
      <c r="V644">
        <f t="shared" si="41"/>
        <v>8607.6674999999996</v>
      </c>
      <c r="W644">
        <f t="shared" si="42"/>
        <v>3270.0274999999992</v>
      </c>
      <c r="X644">
        <f t="shared" si="43"/>
        <v>37.989705108846259</v>
      </c>
      <c r="Y644">
        <f t="shared" si="40"/>
        <v>2</v>
      </c>
      <c r="Z644" t="str" cm="1">
        <f t="array" ref="Z644">_xlfn.IFS(Y644&lt;0, "Invalid Date", ISBLANK(G644), "Missing Region", TRUE, "Clean")</f>
        <v>Clean</v>
      </c>
    </row>
    <row r="645" spans="1:26">
      <c r="A645" t="s">
        <v>1414</v>
      </c>
      <c r="B645" s="4">
        <v>45414</v>
      </c>
      <c r="C645" s="6">
        <v>45335</v>
      </c>
      <c r="D645" t="s">
        <v>2574</v>
      </c>
      <c r="E645" t="s">
        <v>111</v>
      </c>
      <c r="F645" t="s">
        <v>85</v>
      </c>
      <c r="G645" t="s">
        <v>24</v>
      </c>
      <c r="H645" t="s">
        <v>117</v>
      </c>
      <c r="I645" t="s">
        <v>118</v>
      </c>
      <c r="J645" t="s">
        <v>27</v>
      </c>
      <c r="K645" t="s">
        <v>82</v>
      </c>
      <c r="L645" t="s">
        <v>1415</v>
      </c>
      <c r="M645" t="s">
        <v>55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132</v>
      </c>
      <c r="U645" t="s">
        <v>92</v>
      </c>
      <c r="V645">
        <f t="shared" si="41"/>
        <v>26324.023999999998</v>
      </c>
      <c r="W645">
        <f t="shared" si="42"/>
        <v>10046.063999999998</v>
      </c>
      <c r="X645">
        <f t="shared" si="43"/>
        <v>38.163101507581061</v>
      </c>
      <c r="Y645">
        <f t="shared" si="40"/>
        <v>-79</v>
      </c>
      <c r="Z645" t="str" cm="1">
        <f t="array" ref="Z645">_xlfn.IFS(Y645&lt;0, "Invalid Date", ISBLANK(G645), "Missing Region", TRUE, "Clean")</f>
        <v>Invalid Date</v>
      </c>
    </row>
    <row r="646" spans="1:26">
      <c r="A646" t="s">
        <v>1416</v>
      </c>
      <c r="B646" s="4">
        <v>45934</v>
      </c>
      <c r="C646" s="6">
        <v>45764</v>
      </c>
      <c r="D646" t="s">
        <v>2575</v>
      </c>
      <c r="E646" t="s">
        <v>65</v>
      </c>
      <c r="F646" t="s">
        <v>23</v>
      </c>
      <c r="G646" t="s">
        <v>36</v>
      </c>
      <c r="H646" t="s">
        <v>88</v>
      </c>
      <c r="I646" t="s">
        <v>89</v>
      </c>
      <c r="J646" t="s">
        <v>39</v>
      </c>
      <c r="K646" t="s">
        <v>61</v>
      </c>
      <c r="L646" t="s">
        <v>1417</v>
      </c>
      <c r="M646" t="s">
        <v>55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31</v>
      </c>
      <c r="U646" t="s">
        <v>32</v>
      </c>
      <c r="V646">
        <f t="shared" si="41"/>
        <v>14250.075999999999</v>
      </c>
      <c r="W646">
        <f t="shared" si="42"/>
        <v>3335.155999999999</v>
      </c>
      <c r="X646">
        <f t="shared" si="43"/>
        <v>23.404478684885603</v>
      </c>
      <c r="Y646">
        <f t="shared" si="40"/>
        <v>-170</v>
      </c>
      <c r="Z646" t="str" cm="1">
        <f t="array" ref="Z646">_xlfn.IFS(Y646&lt;0, "Invalid Date", ISBLANK(G646), "Missing Region", TRUE, "Clean")</f>
        <v>Invalid Date</v>
      </c>
    </row>
    <row r="647" spans="1:26">
      <c r="A647" t="s">
        <v>1418</v>
      </c>
      <c r="B647" s="4">
        <v>45383</v>
      </c>
      <c r="C647" s="6">
        <v>45536</v>
      </c>
      <c r="D647" t="s">
        <v>2576</v>
      </c>
      <c r="E647" t="s">
        <v>212</v>
      </c>
      <c r="F647" t="s">
        <v>23</v>
      </c>
      <c r="G647" t="s">
        <v>36</v>
      </c>
      <c r="H647" t="s">
        <v>124</v>
      </c>
      <c r="I647" t="s">
        <v>125</v>
      </c>
      <c r="J647" t="s">
        <v>39</v>
      </c>
      <c r="K647" t="s">
        <v>61</v>
      </c>
      <c r="L647" t="s">
        <v>1419</v>
      </c>
      <c r="M647" t="s">
        <v>30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31</v>
      </c>
      <c r="U647" t="s">
        <v>32</v>
      </c>
      <c r="V647">
        <f t="shared" si="41"/>
        <v>13087.494000000001</v>
      </c>
      <c r="W647">
        <f t="shared" si="42"/>
        <v>5478.6040000000003</v>
      </c>
      <c r="X647">
        <f t="shared" si="43"/>
        <v>41.861367806548756</v>
      </c>
      <c r="Y647">
        <f t="shared" ref="Y647:Y710" si="44">C647-B647</f>
        <v>153</v>
      </c>
      <c r="Z647" t="str" cm="1">
        <f t="array" ref="Z647">_xlfn.IFS(Y647&lt;0, "Invalid Date", ISBLANK(G647), "Missing Region", TRUE, "Clean")</f>
        <v>Clean</v>
      </c>
    </row>
    <row r="648" spans="1:26">
      <c r="A648" t="s">
        <v>1420</v>
      </c>
      <c r="B648" s="4">
        <v>45553</v>
      </c>
      <c r="C648" s="6">
        <v>45559</v>
      </c>
      <c r="D648" t="s">
        <v>2577</v>
      </c>
      <c r="E648" t="s">
        <v>65</v>
      </c>
      <c r="F648" t="s">
        <v>35</v>
      </c>
      <c r="G648" t="s">
        <v>36</v>
      </c>
      <c r="H648" t="s">
        <v>186</v>
      </c>
      <c r="I648" t="s">
        <v>187</v>
      </c>
      <c r="J648" t="s">
        <v>68</v>
      </c>
      <c r="K648" t="s">
        <v>219</v>
      </c>
      <c r="L648" t="s">
        <v>1421</v>
      </c>
      <c r="M648" t="s">
        <v>47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31</v>
      </c>
      <c r="U648" t="s">
        <v>32</v>
      </c>
      <c r="V648">
        <f t="shared" si="41"/>
        <v>1640.5650000000001</v>
      </c>
      <c r="W648">
        <f t="shared" si="42"/>
        <v>503.58500000000004</v>
      </c>
      <c r="X648">
        <f t="shared" si="43"/>
        <v>30.695827352162215</v>
      </c>
      <c r="Y648">
        <f t="shared" si="44"/>
        <v>6</v>
      </c>
      <c r="Z648" t="str" cm="1">
        <f t="array" ref="Z648">_xlfn.IFS(Y648&lt;0, "Invalid Date", ISBLANK(G648), "Missing Region", TRUE, "Clean")</f>
        <v>Clean</v>
      </c>
    </row>
    <row r="649" spans="1:26">
      <c r="A649" t="s">
        <v>1422</v>
      </c>
      <c r="B649" s="4">
        <v>45658</v>
      </c>
      <c r="C649" s="6">
        <v>45901</v>
      </c>
      <c r="D649" t="s">
        <v>2578</v>
      </c>
      <c r="E649" t="s">
        <v>121</v>
      </c>
      <c r="F649" t="s">
        <v>35</v>
      </c>
      <c r="G649" t="s">
        <v>24</v>
      </c>
      <c r="H649" t="s">
        <v>106</v>
      </c>
      <c r="I649" t="s">
        <v>107</v>
      </c>
      <c r="J649" t="s">
        <v>27</v>
      </c>
      <c r="K649" t="s">
        <v>45</v>
      </c>
      <c r="L649" t="s">
        <v>1423</v>
      </c>
      <c r="M649" t="s">
        <v>47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31</v>
      </c>
      <c r="U649" t="s">
        <v>32</v>
      </c>
      <c r="V649">
        <f t="shared" si="41"/>
        <v>14441.907999999999</v>
      </c>
      <c r="W649">
        <f t="shared" si="42"/>
        <v>3569.018</v>
      </c>
      <c r="X649">
        <f t="shared" si="43"/>
        <v>24.712925743606732</v>
      </c>
      <c r="Y649">
        <f t="shared" si="44"/>
        <v>243</v>
      </c>
      <c r="Z649" t="str" cm="1">
        <f t="array" ref="Z649">_xlfn.IFS(Y649&lt;0, "Invalid Date", ISBLANK(G649), "Missing Region", TRUE, "Clean")</f>
        <v>Clean</v>
      </c>
    </row>
    <row r="650" spans="1:26">
      <c r="A650" t="s">
        <v>1424</v>
      </c>
      <c r="B650" s="4">
        <v>45403</v>
      </c>
      <c r="C650" s="6">
        <v>45406</v>
      </c>
      <c r="D650" t="s">
        <v>2579</v>
      </c>
      <c r="E650" t="s">
        <v>72</v>
      </c>
      <c r="F650" t="s">
        <v>35</v>
      </c>
      <c r="G650" t="s">
        <v>50</v>
      </c>
      <c r="H650" t="s">
        <v>76</v>
      </c>
      <c r="I650" t="s">
        <v>77</v>
      </c>
      <c r="J650" t="s">
        <v>27</v>
      </c>
      <c r="K650" t="s">
        <v>45</v>
      </c>
      <c r="L650" t="s">
        <v>1425</v>
      </c>
      <c r="M650" t="s">
        <v>42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132</v>
      </c>
      <c r="U650" t="s">
        <v>92</v>
      </c>
      <c r="V650">
        <f t="shared" si="41"/>
        <v>5065.8480000000009</v>
      </c>
      <c r="W650">
        <f t="shared" si="42"/>
        <v>1548.6180000000008</v>
      </c>
      <c r="X650">
        <f t="shared" si="43"/>
        <v>30.569768378364305</v>
      </c>
      <c r="Y650">
        <f t="shared" si="44"/>
        <v>3</v>
      </c>
      <c r="Z650" t="str" cm="1">
        <f t="array" ref="Z650">_xlfn.IFS(Y650&lt;0, "Invalid Date", ISBLANK(G650), "Missing Region", TRUE, "Clean")</f>
        <v>Clean</v>
      </c>
    </row>
    <row r="651" spans="1:26">
      <c r="A651" t="s">
        <v>1426</v>
      </c>
      <c r="B651" s="4">
        <v>45969</v>
      </c>
      <c r="C651" s="6">
        <v>45888</v>
      </c>
      <c r="D651" t="s">
        <v>2040</v>
      </c>
      <c r="E651" t="s">
        <v>212</v>
      </c>
      <c r="F651" t="s">
        <v>35</v>
      </c>
      <c r="G651" t="s">
        <v>50</v>
      </c>
      <c r="H651" t="s">
        <v>155</v>
      </c>
      <c r="I651" t="s">
        <v>156</v>
      </c>
      <c r="J651" t="s">
        <v>68</v>
      </c>
      <c r="K651" t="s">
        <v>69</v>
      </c>
      <c r="L651" t="s">
        <v>1427</v>
      </c>
      <c r="M651" t="s">
        <v>55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31</v>
      </c>
      <c r="U651" t="s">
        <v>32</v>
      </c>
      <c r="V651">
        <f t="shared" si="41"/>
        <v>6776.88</v>
      </c>
      <c r="W651">
        <f t="shared" si="42"/>
        <v>2940.6400000000003</v>
      </c>
      <c r="X651">
        <f t="shared" si="43"/>
        <v>43.39223949664153</v>
      </c>
      <c r="Y651">
        <f t="shared" si="44"/>
        <v>-81</v>
      </c>
      <c r="Z651" t="str" cm="1">
        <f t="array" ref="Z651">_xlfn.IFS(Y651&lt;0, "Invalid Date", ISBLANK(G651), "Missing Region", TRUE, "Clean")</f>
        <v>Invalid Date</v>
      </c>
    </row>
    <row r="652" spans="1:26">
      <c r="A652" t="s">
        <v>1428</v>
      </c>
      <c r="B652" s="4">
        <v>45395</v>
      </c>
      <c r="C652" s="6">
        <v>45403</v>
      </c>
      <c r="D652" t="s">
        <v>2580</v>
      </c>
      <c r="E652" t="s">
        <v>111</v>
      </c>
      <c r="F652" t="s">
        <v>85</v>
      </c>
      <c r="G652" t="s">
        <v>36</v>
      </c>
      <c r="H652" t="s">
        <v>124</v>
      </c>
      <c r="I652" t="s">
        <v>125</v>
      </c>
      <c r="J652" t="s">
        <v>68</v>
      </c>
      <c r="K652" t="s">
        <v>69</v>
      </c>
      <c r="L652" t="s">
        <v>1429</v>
      </c>
      <c r="M652" t="s">
        <v>42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132</v>
      </c>
      <c r="U652" t="s">
        <v>92</v>
      </c>
      <c r="V652">
        <f t="shared" si="41"/>
        <v>15760.121999999999</v>
      </c>
      <c r="W652">
        <f t="shared" si="42"/>
        <v>5828.5919999999987</v>
      </c>
      <c r="X652">
        <f t="shared" si="43"/>
        <v>36.983165485647888</v>
      </c>
      <c r="Y652">
        <f t="shared" si="44"/>
        <v>8</v>
      </c>
      <c r="Z652" t="str" cm="1">
        <f t="array" ref="Z652">_xlfn.IFS(Y652&lt;0, "Invalid Date", ISBLANK(G652), "Missing Region", TRUE, "Clean")</f>
        <v>Clean</v>
      </c>
    </row>
    <row r="653" spans="1:26">
      <c r="A653" t="s">
        <v>1430</v>
      </c>
      <c r="B653" s="4">
        <v>45816</v>
      </c>
      <c r="C653" s="6">
        <v>45908</v>
      </c>
      <c r="D653" t="s">
        <v>2467</v>
      </c>
      <c r="E653" t="s">
        <v>34</v>
      </c>
      <c r="F653" t="s">
        <v>35</v>
      </c>
      <c r="G653" t="s">
        <v>50</v>
      </c>
      <c r="H653" t="s">
        <v>76</v>
      </c>
      <c r="I653" t="s">
        <v>77</v>
      </c>
      <c r="J653" t="s">
        <v>27</v>
      </c>
      <c r="K653" t="s">
        <v>28</v>
      </c>
      <c r="L653" t="s">
        <v>1431</v>
      </c>
      <c r="M653" t="s">
        <v>30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31</v>
      </c>
      <c r="U653" t="s">
        <v>32</v>
      </c>
      <c r="V653">
        <f t="shared" si="41"/>
        <v>1795.6499999999999</v>
      </c>
      <c r="W653">
        <f t="shared" si="42"/>
        <v>798.92999999999984</v>
      </c>
      <c r="X653">
        <f t="shared" si="43"/>
        <v>44.492523598696842</v>
      </c>
      <c r="Y653">
        <f t="shared" si="44"/>
        <v>92</v>
      </c>
      <c r="Z653" t="str" cm="1">
        <f t="array" ref="Z653">_xlfn.IFS(Y653&lt;0, "Invalid Date", ISBLANK(G653), "Missing Region", TRUE, "Clean")</f>
        <v>Clean</v>
      </c>
    </row>
    <row r="654" spans="1:26">
      <c r="A654" t="s">
        <v>1432</v>
      </c>
      <c r="B654" s="4">
        <v>45733</v>
      </c>
      <c r="C654" s="6">
        <v>45737</v>
      </c>
      <c r="D654" t="s">
        <v>2581</v>
      </c>
      <c r="E654" t="s">
        <v>114</v>
      </c>
      <c r="F654" t="s">
        <v>23</v>
      </c>
      <c r="G654" t="s">
        <v>24</v>
      </c>
      <c r="H654" t="s">
        <v>117</v>
      </c>
      <c r="I654" t="s">
        <v>118</v>
      </c>
      <c r="J654" t="s">
        <v>27</v>
      </c>
      <c r="K654" t="s">
        <v>130</v>
      </c>
      <c r="L654" t="s">
        <v>1433</v>
      </c>
      <c r="M654" t="s">
        <v>55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31</v>
      </c>
      <c r="U654" t="s">
        <v>32</v>
      </c>
      <c r="V654">
        <f t="shared" si="41"/>
        <v>18362.5075</v>
      </c>
      <c r="W654">
        <f t="shared" si="42"/>
        <v>7228.5375000000004</v>
      </c>
      <c r="X654">
        <f t="shared" si="43"/>
        <v>39.365742941153329</v>
      </c>
      <c r="Y654">
        <f t="shared" si="44"/>
        <v>4</v>
      </c>
      <c r="Z654" t="str" cm="1">
        <f t="array" ref="Z654">_xlfn.IFS(Y654&lt;0, "Invalid Date", ISBLANK(G654), "Missing Region", TRUE, "Clean")</f>
        <v>Clean</v>
      </c>
    </row>
    <row r="655" spans="1:26">
      <c r="A655" t="s">
        <v>1434</v>
      </c>
      <c r="B655" s="4">
        <v>45751</v>
      </c>
      <c r="C655" s="6">
        <v>45754</v>
      </c>
      <c r="D655" t="s">
        <v>2219</v>
      </c>
      <c r="E655" t="s">
        <v>100</v>
      </c>
      <c r="F655" t="s">
        <v>35</v>
      </c>
      <c r="G655" t="s">
        <v>50</v>
      </c>
      <c r="H655" t="s">
        <v>200</v>
      </c>
      <c r="I655" t="s">
        <v>201</v>
      </c>
      <c r="J655" t="s">
        <v>68</v>
      </c>
      <c r="K655" t="s">
        <v>73</v>
      </c>
      <c r="L655" t="s">
        <v>1435</v>
      </c>
      <c r="M655" t="s">
        <v>30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31</v>
      </c>
      <c r="U655" t="s">
        <v>32</v>
      </c>
      <c r="V655">
        <f t="shared" si="41"/>
        <v>26524.683500000003</v>
      </c>
      <c r="W655">
        <f t="shared" si="42"/>
        <v>5950.3835000000036</v>
      </c>
      <c r="X655">
        <f t="shared" si="43"/>
        <v>22.433381721595293</v>
      </c>
      <c r="Y655">
        <f t="shared" si="44"/>
        <v>3</v>
      </c>
      <c r="Z655" t="str" cm="1">
        <f t="array" ref="Z655">_xlfn.IFS(Y655&lt;0, "Invalid Date", ISBLANK(G655), "Missing Region", TRUE, "Clean")</f>
        <v>Clean</v>
      </c>
    </row>
    <row r="656" spans="1:26">
      <c r="A656" t="s">
        <v>1436</v>
      </c>
      <c r="B656" s="4">
        <v>45942</v>
      </c>
      <c r="C656" s="6">
        <v>45946</v>
      </c>
      <c r="D656" t="s">
        <v>2582</v>
      </c>
      <c r="E656" t="s">
        <v>137</v>
      </c>
      <c r="F656" t="s">
        <v>81</v>
      </c>
      <c r="G656" t="s">
        <v>36</v>
      </c>
      <c r="H656" t="s">
        <v>124</v>
      </c>
      <c r="I656" t="s">
        <v>125</v>
      </c>
      <c r="J656" t="s">
        <v>68</v>
      </c>
      <c r="K656" t="s">
        <v>219</v>
      </c>
      <c r="L656" t="s">
        <v>1437</v>
      </c>
      <c r="M656" t="s">
        <v>42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31</v>
      </c>
      <c r="U656" t="s">
        <v>32</v>
      </c>
      <c r="V656">
        <f t="shared" si="41"/>
        <v>2056.0480000000002</v>
      </c>
      <c r="W656">
        <f t="shared" si="42"/>
        <v>393.65800000000013</v>
      </c>
      <c r="X656">
        <f t="shared" si="43"/>
        <v>19.146342886936495</v>
      </c>
      <c r="Y656">
        <f t="shared" si="44"/>
        <v>4</v>
      </c>
      <c r="Z656" t="str" cm="1">
        <f t="array" ref="Z656">_xlfn.IFS(Y656&lt;0, "Invalid Date", ISBLANK(G656), "Missing Region", TRUE, "Clean")</f>
        <v>Clean</v>
      </c>
    </row>
    <row r="657" spans="1:26">
      <c r="A657" t="s">
        <v>1438</v>
      </c>
      <c r="B657" s="4">
        <v>45895</v>
      </c>
      <c r="C657" s="6">
        <v>45895</v>
      </c>
      <c r="D657" t="s">
        <v>2583</v>
      </c>
      <c r="E657" t="s">
        <v>72</v>
      </c>
      <c r="F657" t="s">
        <v>85</v>
      </c>
      <c r="G657" t="s">
        <v>36</v>
      </c>
      <c r="H657" t="s">
        <v>88</v>
      </c>
      <c r="I657" t="s">
        <v>89</v>
      </c>
      <c r="J657" t="s">
        <v>39</v>
      </c>
      <c r="K657" t="s">
        <v>53</v>
      </c>
      <c r="L657" t="s">
        <v>1439</v>
      </c>
      <c r="M657" t="s">
        <v>55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31</v>
      </c>
      <c r="U657" t="s">
        <v>32</v>
      </c>
      <c r="V657">
        <f t="shared" si="41"/>
        <v>8607.2800000000007</v>
      </c>
      <c r="W657">
        <f t="shared" si="42"/>
        <v>3483.2700000000004</v>
      </c>
      <c r="X657">
        <f t="shared" si="43"/>
        <v>40.468882155570633</v>
      </c>
      <c r="Y657">
        <f t="shared" si="44"/>
        <v>0</v>
      </c>
      <c r="Z657" t="str" cm="1">
        <f t="array" ref="Z657">_xlfn.IFS(Y657&lt;0, "Invalid Date", ISBLANK(G657), "Missing Region", TRUE, "Clean")</f>
        <v>Clean</v>
      </c>
    </row>
    <row r="658" spans="1:26">
      <c r="A658" t="s">
        <v>1440</v>
      </c>
      <c r="B658" s="4">
        <v>45478</v>
      </c>
      <c r="C658" s="6">
        <v>45426</v>
      </c>
      <c r="D658" t="s">
        <v>2584</v>
      </c>
      <c r="E658" t="s">
        <v>72</v>
      </c>
      <c r="F658" t="s">
        <v>35</v>
      </c>
      <c r="G658" t="s">
        <v>24</v>
      </c>
      <c r="H658" t="s">
        <v>192</v>
      </c>
      <c r="I658" t="s">
        <v>193</v>
      </c>
      <c r="J658" t="s">
        <v>68</v>
      </c>
      <c r="K658" t="s">
        <v>219</v>
      </c>
      <c r="L658" t="s">
        <v>1441</v>
      </c>
      <c r="M658" t="s">
        <v>42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31</v>
      </c>
      <c r="U658" t="s">
        <v>32</v>
      </c>
      <c r="V658">
        <f t="shared" si="41"/>
        <v>11554.62</v>
      </c>
      <c r="W658">
        <f t="shared" si="42"/>
        <v>3858.3400000000011</v>
      </c>
      <c r="X658">
        <f t="shared" si="43"/>
        <v>33.392184251840398</v>
      </c>
      <c r="Y658">
        <f t="shared" si="44"/>
        <v>-52</v>
      </c>
      <c r="Z658" t="str" cm="1">
        <f t="array" ref="Z658">_xlfn.IFS(Y658&lt;0, "Invalid Date", ISBLANK(G658), "Missing Region", TRUE, "Clean")</f>
        <v>Invalid Date</v>
      </c>
    </row>
    <row r="659" spans="1:26">
      <c r="A659" t="s">
        <v>1442</v>
      </c>
      <c r="B659" s="4">
        <v>45876</v>
      </c>
      <c r="C659" s="6">
        <v>45938</v>
      </c>
      <c r="D659" t="s">
        <v>2585</v>
      </c>
      <c r="E659" t="s">
        <v>80</v>
      </c>
      <c r="F659" t="s">
        <v>85</v>
      </c>
      <c r="G659" t="s">
        <v>36</v>
      </c>
      <c r="H659" t="s">
        <v>124</v>
      </c>
      <c r="I659" t="s">
        <v>125</v>
      </c>
      <c r="J659" t="s">
        <v>27</v>
      </c>
      <c r="K659" t="s">
        <v>108</v>
      </c>
      <c r="L659" t="s">
        <v>1443</v>
      </c>
      <c r="M659" t="s">
        <v>30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31</v>
      </c>
      <c r="U659" t="s">
        <v>32</v>
      </c>
      <c r="V659">
        <f t="shared" si="41"/>
        <v>2033</v>
      </c>
      <c r="W659">
        <f t="shared" si="42"/>
        <v>741.58999999999992</v>
      </c>
      <c r="X659">
        <f t="shared" si="43"/>
        <v>36.477619281849478</v>
      </c>
      <c r="Y659">
        <f t="shared" si="44"/>
        <v>62</v>
      </c>
      <c r="Z659" t="str" cm="1">
        <f t="array" ref="Z659">_xlfn.IFS(Y659&lt;0, "Invalid Date", ISBLANK(G659), "Missing Region", TRUE, "Clean")</f>
        <v>Clean</v>
      </c>
    </row>
    <row r="660" spans="1:26">
      <c r="A660" t="s">
        <v>1444</v>
      </c>
      <c r="B660" s="4">
        <v>45906</v>
      </c>
      <c r="C660" s="6">
        <v>45820</v>
      </c>
      <c r="D660" t="s">
        <v>2586</v>
      </c>
      <c r="E660" t="s">
        <v>114</v>
      </c>
      <c r="F660" t="s">
        <v>23</v>
      </c>
      <c r="G660" t="s">
        <v>2806</v>
      </c>
      <c r="H660" t="s">
        <v>124</v>
      </c>
      <c r="I660" t="s">
        <v>125</v>
      </c>
      <c r="J660" t="s">
        <v>27</v>
      </c>
      <c r="K660" t="s">
        <v>45</v>
      </c>
      <c r="L660" t="s">
        <v>1445</v>
      </c>
      <c r="M660" t="s">
        <v>47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91</v>
      </c>
      <c r="U660" t="s">
        <v>63</v>
      </c>
      <c r="V660">
        <f t="shared" si="41"/>
        <v>19966.940000000002</v>
      </c>
      <c r="W660">
        <f t="shared" si="42"/>
        <v>7276.1100000000024</v>
      </c>
      <c r="X660">
        <f t="shared" si="43"/>
        <v>36.44078662028334</v>
      </c>
      <c r="Y660">
        <f t="shared" si="44"/>
        <v>-86</v>
      </c>
      <c r="Z660" t="str" cm="1">
        <f t="array" ref="Z660">_xlfn.IFS(Y660&lt;0, "Invalid Date", ISBLANK(G660), "Missing Region", TRUE, "Clean")</f>
        <v>Invalid Date</v>
      </c>
    </row>
    <row r="661" spans="1:26">
      <c r="A661" t="s">
        <v>1446</v>
      </c>
      <c r="B661" s="4">
        <v>45678</v>
      </c>
      <c r="C661" s="6">
        <v>45679</v>
      </c>
      <c r="D661" t="s">
        <v>2587</v>
      </c>
      <c r="E661" t="s">
        <v>137</v>
      </c>
      <c r="F661" t="s">
        <v>81</v>
      </c>
      <c r="G661" t="s">
        <v>50</v>
      </c>
      <c r="H661" t="s">
        <v>147</v>
      </c>
      <c r="I661" t="s">
        <v>148</v>
      </c>
      <c r="J661" t="s">
        <v>68</v>
      </c>
      <c r="K661" t="s">
        <v>144</v>
      </c>
      <c r="L661" t="s">
        <v>1447</v>
      </c>
      <c r="M661" t="s">
        <v>30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91</v>
      </c>
      <c r="U661" t="s">
        <v>63</v>
      </c>
      <c r="V661">
        <f t="shared" si="41"/>
        <v>710.89600000000007</v>
      </c>
      <c r="W661">
        <f t="shared" si="42"/>
        <v>197.01600000000008</v>
      </c>
      <c r="X661">
        <f t="shared" si="43"/>
        <v>27.713758411919613</v>
      </c>
      <c r="Y661">
        <f t="shared" si="44"/>
        <v>1</v>
      </c>
      <c r="Z661" t="str" cm="1">
        <f t="array" ref="Z661">_xlfn.IFS(Y661&lt;0, "Invalid Date", ISBLANK(G661), "Missing Region", TRUE, "Clean")</f>
        <v>Clean</v>
      </c>
    </row>
    <row r="662" spans="1:26">
      <c r="A662" t="s">
        <v>1448</v>
      </c>
      <c r="B662" s="4">
        <v>45853</v>
      </c>
      <c r="C662" s="6">
        <v>45853</v>
      </c>
      <c r="D662" t="s">
        <v>2588</v>
      </c>
      <c r="E662" t="s">
        <v>49</v>
      </c>
      <c r="F662" t="s">
        <v>35</v>
      </c>
      <c r="G662" t="s">
        <v>36</v>
      </c>
      <c r="H662" t="s">
        <v>186</v>
      </c>
      <c r="I662" t="s">
        <v>187</v>
      </c>
      <c r="J662" t="s">
        <v>68</v>
      </c>
      <c r="K662" t="s">
        <v>144</v>
      </c>
      <c r="L662" t="s">
        <v>1449</v>
      </c>
      <c r="M662" t="s">
        <v>42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31</v>
      </c>
      <c r="U662" t="s">
        <v>32</v>
      </c>
      <c r="V662">
        <f t="shared" si="41"/>
        <v>15994.476000000001</v>
      </c>
      <c r="W662">
        <f t="shared" si="42"/>
        <v>6770.1959999999999</v>
      </c>
      <c r="X662">
        <f t="shared" si="43"/>
        <v>42.328338858991067</v>
      </c>
      <c r="Y662">
        <f t="shared" si="44"/>
        <v>0</v>
      </c>
      <c r="Z662" t="str" cm="1">
        <f t="array" ref="Z662">_xlfn.IFS(Y662&lt;0, "Invalid Date", ISBLANK(G662), "Missing Region", TRUE, "Clean")</f>
        <v>Clean</v>
      </c>
    </row>
    <row r="663" spans="1:26">
      <c r="A663" t="s">
        <v>1450</v>
      </c>
      <c r="B663" s="4">
        <v>45429</v>
      </c>
      <c r="C663" s="6">
        <v>45434</v>
      </c>
      <c r="D663" t="s">
        <v>2589</v>
      </c>
      <c r="E663" t="s">
        <v>114</v>
      </c>
      <c r="F663" t="s">
        <v>23</v>
      </c>
      <c r="G663" t="s">
        <v>50</v>
      </c>
      <c r="H663" t="s">
        <v>76</v>
      </c>
      <c r="I663" t="s">
        <v>77</v>
      </c>
      <c r="J663" t="s">
        <v>68</v>
      </c>
      <c r="K663" t="s">
        <v>219</v>
      </c>
      <c r="L663" t="s">
        <v>1451</v>
      </c>
      <c r="M663" t="s">
        <v>30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31</v>
      </c>
      <c r="U663" t="s">
        <v>32</v>
      </c>
      <c r="V663">
        <f t="shared" si="41"/>
        <v>1627.5</v>
      </c>
      <c r="W663">
        <f t="shared" si="42"/>
        <v>687.6</v>
      </c>
      <c r="X663">
        <f t="shared" si="43"/>
        <v>42.248847926267281</v>
      </c>
      <c r="Y663">
        <f t="shared" si="44"/>
        <v>5</v>
      </c>
      <c r="Z663" t="str" cm="1">
        <f t="array" ref="Z663">_xlfn.IFS(Y663&lt;0, "Invalid Date", ISBLANK(G663), "Missing Region", TRUE, "Clean")</f>
        <v>Clean</v>
      </c>
    </row>
    <row r="664" spans="1:26">
      <c r="A664" t="s">
        <v>1452</v>
      </c>
      <c r="B664" s="4">
        <v>45305</v>
      </c>
      <c r="C664" s="6">
        <v>45309</v>
      </c>
      <c r="D664" t="s">
        <v>2590</v>
      </c>
      <c r="E664" t="s">
        <v>34</v>
      </c>
      <c r="F664" t="s">
        <v>85</v>
      </c>
      <c r="G664" t="s">
        <v>58</v>
      </c>
      <c r="H664" t="s">
        <v>25</v>
      </c>
      <c r="I664" t="s">
        <v>96</v>
      </c>
      <c r="J664" t="s">
        <v>68</v>
      </c>
      <c r="K664" t="s">
        <v>219</v>
      </c>
      <c r="L664" t="s">
        <v>1453</v>
      </c>
      <c r="M664" t="s">
        <v>42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31</v>
      </c>
      <c r="U664" t="s">
        <v>32</v>
      </c>
      <c r="V664">
        <f t="shared" si="41"/>
        <v>9637.92</v>
      </c>
      <c r="W664">
        <f t="shared" si="42"/>
        <v>2308.63</v>
      </c>
      <c r="X664">
        <f t="shared" si="43"/>
        <v>23.953612397695771</v>
      </c>
      <c r="Y664">
        <f t="shared" si="44"/>
        <v>4</v>
      </c>
      <c r="Z664" t="str" cm="1">
        <f t="array" ref="Z664">_xlfn.IFS(Y664&lt;0, "Invalid Date", ISBLANK(G664), "Missing Region", TRUE, "Clean")</f>
        <v>Clean</v>
      </c>
    </row>
    <row r="665" spans="1:26">
      <c r="A665" t="s">
        <v>1454</v>
      </c>
      <c r="B665" s="4">
        <v>45414</v>
      </c>
      <c r="C665" s="6">
        <v>45509</v>
      </c>
      <c r="D665" t="s">
        <v>2591</v>
      </c>
      <c r="E665" t="s">
        <v>103</v>
      </c>
      <c r="F665" t="s">
        <v>85</v>
      </c>
      <c r="G665" t="s">
        <v>36</v>
      </c>
      <c r="H665" t="s">
        <v>186</v>
      </c>
      <c r="I665" t="s">
        <v>187</v>
      </c>
      <c r="J665" t="s">
        <v>68</v>
      </c>
      <c r="K665" t="s">
        <v>73</v>
      </c>
      <c r="L665" t="s">
        <v>1455</v>
      </c>
      <c r="M665" t="s">
        <v>30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31</v>
      </c>
      <c r="U665" t="s">
        <v>32</v>
      </c>
      <c r="V665">
        <f t="shared" si="41"/>
        <v>7898.8248000000003</v>
      </c>
      <c r="W665">
        <f t="shared" si="42"/>
        <v>4745.8448000000008</v>
      </c>
      <c r="X665">
        <f t="shared" si="43"/>
        <v>60.082922715287978</v>
      </c>
      <c r="Y665">
        <f t="shared" si="44"/>
        <v>95</v>
      </c>
      <c r="Z665" t="str" cm="1">
        <f t="array" ref="Z665">_xlfn.IFS(Y665&lt;0, "Invalid Date", ISBLANK(G665), "Missing Region", TRUE, "Clean")</f>
        <v>Clean</v>
      </c>
    </row>
    <row r="666" spans="1:26">
      <c r="A666" t="s">
        <v>1456</v>
      </c>
      <c r="B666" s="4">
        <v>45485</v>
      </c>
      <c r="C666" s="6">
        <v>45577</v>
      </c>
      <c r="D666" t="s">
        <v>2592</v>
      </c>
      <c r="E666" t="s">
        <v>34</v>
      </c>
      <c r="F666" t="s">
        <v>85</v>
      </c>
      <c r="G666" t="s">
        <v>50</v>
      </c>
      <c r="H666" t="s">
        <v>51</v>
      </c>
      <c r="I666" t="s">
        <v>52</v>
      </c>
      <c r="J666" t="s">
        <v>68</v>
      </c>
      <c r="K666" t="s">
        <v>69</v>
      </c>
      <c r="L666" t="s">
        <v>1457</v>
      </c>
      <c r="M666" t="s">
        <v>55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31</v>
      </c>
      <c r="U666" t="s">
        <v>32</v>
      </c>
      <c r="V666">
        <f t="shared" si="41"/>
        <v>1527.0640000000001</v>
      </c>
      <c r="W666">
        <f t="shared" si="42"/>
        <v>471.17399999999998</v>
      </c>
      <c r="X666">
        <f t="shared" si="43"/>
        <v>30.854895407134208</v>
      </c>
      <c r="Y666">
        <f t="shared" si="44"/>
        <v>92</v>
      </c>
      <c r="Z666" t="str" cm="1">
        <f t="array" ref="Z666">_xlfn.IFS(Y666&lt;0, "Invalid Date", ISBLANK(G666), "Missing Region", TRUE, "Clean")</f>
        <v>Clean</v>
      </c>
    </row>
    <row r="667" spans="1:26">
      <c r="A667" t="s">
        <v>1458</v>
      </c>
      <c r="B667" s="4">
        <v>45670</v>
      </c>
      <c r="C667" s="6">
        <v>45670</v>
      </c>
      <c r="D667" t="s">
        <v>2593</v>
      </c>
      <c r="E667" t="s">
        <v>103</v>
      </c>
      <c r="F667" t="s">
        <v>85</v>
      </c>
      <c r="G667" t="s">
        <v>58</v>
      </c>
      <c r="H667" t="s">
        <v>151</v>
      </c>
      <c r="I667" t="s">
        <v>152</v>
      </c>
      <c r="J667" t="s">
        <v>27</v>
      </c>
      <c r="K667" t="s">
        <v>45</v>
      </c>
      <c r="L667" t="s">
        <v>1459</v>
      </c>
      <c r="M667" t="s">
        <v>55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132</v>
      </c>
      <c r="U667" t="s">
        <v>63</v>
      </c>
      <c r="V667">
        <f t="shared" si="41"/>
        <v>5698.4039999999995</v>
      </c>
      <c r="W667">
        <f t="shared" si="42"/>
        <v>2057.5139999999997</v>
      </c>
      <c r="X667">
        <f t="shared" si="43"/>
        <v>36.106846759197836</v>
      </c>
      <c r="Y667">
        <f t="shared" si="44"/>
        <v>0</v>
      </c>
      <c r="Z667" t="str" cm="1">
        <f t="array" ref="Z667">_xlfn.IFS(Y667&lt;0, "Invalid Date", ISBLANK(G667), "Missing Region", TRUE, "Clean")</f>
        <v>Clean</v>
      </c>
    </row>
    <row r="668" spans="1:26">
      <c r="A668" t="s">
        <v>1460</v>
      </c>
      <c r="B668" s="4">
        <v>45464</v>
      </c>
      <c r="C668" s="6">
        <v>45469</v>
      </c>
      <c r="D668" t="s">
        <v>2594</v>
      </c>
      <c r="E668" t="s">
        <v>121</v>
      </c>
      <c r="F668" t="s">
        <v>35</v>
      </c>
      <c r="G668" t="s">
        <v>24</v>
      </c>
      <c r="H668" t="s">
        <v>106</v>
      </c>
      <c r="I668" t="s">
        <v>107</v>
      </c>
      <c r="J668" t="s">
        <v>68</v>
      </c>
      <c r="K668" t="s">
        <v>73</v>
      </c>
      <c r="L668" t="s">
        <v>1461</v>
      </c>
      <c r="M668" t="s">
        <v>42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31</v>
      </c>
      <c r="U668" t="s">
        <v>32</v>
      </c>
      <c r="V668">
        <f t="shared" si="41"/>
        <v>265.83849999999995</v>
      </c>
      <c r="W668">
        <f t="shared" si="42"/>
        <v>42.348499999999945</v>
      </c>
      <c r="X668">
        <f t="shared" si="43"/>
        <v>15.930160605028975</v>
      </c>
      <c r="Y668">
        <f t="shared" si="44"/>
        <v>5</v>
      </c>
      <c r="Z668" t="str" cm="1">
        <f t="array" ref="Z668">_xlfn.IFS(Y668&lt;0, "Invalid Date", ISBLANK(G668), "Missing Region", TRUE, "Clean")</f>
        <v>Clean</v>
      </c>
    </row>
    <row r="669" spans="1:26">
      <c r="A669" t="s">
        <v>1462</v>
      </c>
      <c r="B669" s="4">
        <v>45797</v>
      </c>
      <c r="C669" s="6">
        <v>45804</v>
      </c>
      <c r="D669" t="s">
        <v>2595</v>
      </c>
      <c r="E669" t="s">
        <v>137</v>
      </c>
      <c r="F669" t="s">
        <v>35</v>
      </c>
      <c r="G669" t="s">
        <v>36</v>
      </c>
      <c r="H669" t="s">
        <v>124</v>
      </c>
      <c r="I669" t="s">
        <v>125</v>
      </c>
      <c r="J669" t="s">
        <v>68</v>
      </c>
      <c r="K669" t="s">
        <v>219</v>
      </c>
      <c r="L669" t="s">
        <v>1463</v>
      </c>
      <c r="M669" t="s">
        <v>55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98</v>
      </c>
      <c r="U669" t="s">
        <v>92</v>
      </c>
      <c r="V669">
        <f t="shared" si="41"/>
        <v>3959.14</v>
      </c>
      <c r="W669">
        <f t="shared" si="42"/>
        <v>719.60999999999967</v>
      </c>
      <c r="X669">
        <f t="shared" si="43"/>
        <v>18.175916992074029</v>
      </c>
      <c r="Y669">
        <f t="shared" si="44"/>
        <v>7</v>
      </c>
      <c r="Z669" t="str" cm="1">
        <f t="array" ref="Z669">_xlfn.IFS(Y669&lt;0, "Invalid Date", ISBLANK(G669), "Missing Region", TRUE, "Clean")</f>
        <v>Clean</v>
      </c>
    </row>
    <row r="670" spans="1:26">
      <c r="A670" t="s">
        <v>1464</v>
      </c>
      <c r="B670" s="4">
        <v>45617</v>
      </c>
      <c r="C670" s="6">
        <v>45619</v>
      </c>
      <c r="D670" t="s">
        <v>2596</v>
      </c>
      <c r="E670" t="s">
        <v>34</v>
      </c>
      <c r="F670" t="s">
        <v>81</v>
      </c>
      <c r="G670" t="s">
        <v>58</v>
      </c>
      <c r="H670" t="s">
        <v>151</v>
      </c>
      <c r="I670" t="s">
        <v>152</v>
      </c>
      <c r="J670" t="s">
        <v>27</v>
      </c>
      <c r="K670" t="s">
        <v>28</v>
      </c>
      <c r="L670" t="s">
        <v>1465</v>
      </c>
      <c r="M670" t="s">
        <v>30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31</v>
      </c>
      <c r="U670" t="s">
        <v>32</v>
      </c>
      <c r="V670">
        <f t="shared" si="41"/>
        <v>2401.84</v>
      </c>
      <c r="W670">
        <f t="shared" si="42"/>
        <v>528.73000000000025</v>
      </c>
      <c r="X670">
        <f t="shared" si="43"/>
        <v>22.013539619624964</v>
      </c>
      <c r="Y670">
        <f t="shared" si="44"/>
        <v>2</v>
      </c>
      <c r="Z670" t="str" cm="1">
        <f t="array" ref="Z670">_xlfn.IFS(Y670&lt;0, "Invalid Date", ISBLANK(G670), "Missing Region", TRUE, "Clean")</f>
        <v>Clean</v>
      </c>
    </row>
    <row r="671" spans="1:26">
      <c r="A671" t="s">
        <v>1466</v>
      </c>
      <c r="B671" s="4">
        <v>45375</v>
      </c>
      <c r="C671" s="6">
        <v>45295</v>
      </c>
      <c r="D671" t="s">
        <v>2439</v>
      </c>
      <c r="E671" t="s">
        <v>57</v>
      </c>
      <c r="F671" t="s">
        <v>85</v>
      </c>
      <c r="G671" t="s">
        <v>58</v>
      </c>
      <c r="H671" t="s">
        <v>59</v>
      </c>
      <c r="I671" t="s">
        <v>60</v>
      </c>
      <c r="J671" t="s">
        <v>39</v>
      </c>
      <c r="K671" t="s">
        <v>40</v>
      </c>
      <c r="L671" t="s">
        <v>1467</v>
      </c>
      <c r="M671" t="s">
        <v>30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31</v>
      </c>
      <c r="U671" t="s">
        <v>32</v>
      </c>
      <c r="V671">
        <f t="shared" si="41"/>
        <v>5102.16</v>
      </c>
      <c r="W671">
        <f t="shared" si="42"/>
        <v>1875.71</v>
      </c>
      <c r="X671">
        <f t="shared" si="43"/>
        <v>36.763057214983455</v>
      </c>
      <c r="Y671">
        <f t="shared" si="44"/>
        <v>-80</v>
      </c>
      <c r="Z671" t="str" cm="1">
        <f t="array" ref="Z671">_xlfn.IFS(Y671&lt;0, "Invalid Date", ISBLANK(G671), "Missing Region", TRUE, "Clean")</f>
        <v>Invalid Date</v>
      </c>
    </row>
    <row r="672" spans="1:26">
      <c r="A672" t="s">
        <v>1468</v>
      </c>
      <c r="B672" s="4">
        <v>45690</v>
      </c>
      <c r="C672" s="6">
        <v>45810</v>
      </c>
      <c r="D672" t="s">
        <v>2597</v>
      </c>
      <c r="E672" t="s">
        <v>114</v>
      </c>
      <c r="F672" t="s">
        <v>81</v>
      </c>
      <c r="G672" t="s">
        <v>24</v>
      </c>
      <c r="H672" t="s">
        <v>117</v>
      </c>
      <c r="I672" t="s">
        <v>118</v>
      </c>
      <c r="J672" t="s">
        <v>39</v>
      </c>
      <c r="K672" t="s">
        <v>40</v>
      </c>
      <c r="L672" t="s">
        <v>1469</v>
      </c>
      <c r="M672" t="s">
        <v>55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31</v>
      </c>
      <c r="U672" t="s">
        <v>32</v>
      </c>
      <c r="V672">
        <f t="shared" si="41"/>
        <v>6176.5920000000006</v>
      </c>
      <c r="W672">
        <f t="shared" si="42"/>
        <v>2615.6320000000005</v>
      </c>
      <c r="X672">
        <f t="shared" si="43"/>
        <v>42.347495188285066</v>
      </c>
      <c r="Y672">
        <f t="shared" si="44"/>
        <v>120</v>
      </c>
      <c r="Z672" t="str" cm="1">
        <f t="array" ref="Z672">_xlfn.IFS(Y672&lt;0, "Invalid Date", ISBLANK(G672), "Missing Region", TRUE, "Clean")</f>
        <v>Clean</v>
      </c>
    </row>
    <row r="673" spans="1:26">
      <c r="A673" t="s">
        <v>1470</v>
      </c>
      <c r="B673" s="4">
        <v>45373</v>
      </c>
      <c r="C673" s="6">
        <v>45378</v>
      </c>
      <c r="D673" t="s">
        <v>2598</v>
      </c>
      <c r="E673" t="s">
        <v>80</v>
      </c>
      <c r="F673" t="s">
        <v>85</v>
      </c>
      <c r="G673" t="s">
        <v>58</v>
      </c>
      <c r="H673" t="s">
        <v>159</v>
      </c>
      <c r="I673" t="s">
        <v>160</v>
      </c>
      <c r="J673" t="s">
        <v>68</v>
      </c>
      <c r="K673" t="s">
        <v>1471</v>
      </c>
      <c r="L673" t="s">
        <v>1472</v>
      </c>
      <c r="M673" t="s">
        <v>30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31</v>
      </c>
      <c r="U673" t="s">
        <v>32</v>
      </c>
      <c r="V673">
        <f t="shared" si="41"/>
        <v>31203.310500000003</v>
      </c>
      <c r="W673">
        <f t="shared" si="42"/>
        <v>13465.180500000002</v>
      </c>
      <c r="X673">
        <f t="shared" si="43"/>
        <v>43.153051020019177</v>
      </c>
      <c r="Y673">
        <f t="shared" si="44"/>
        <v>5</v>
      </c>
      <c r="Z673" t="str" cm="1">
        <f t="array" ref="Z673">_xlfn.IFS(Y673&lt;0, "Invalid Date", ISBLANK(G673), "Missing Region", TRUE, "Clean")</f>
        <v>Clean</v>
      </c>
    </row>
    <row r="674" spans="1:26">
      <c r="A674" t="s">
        <v>1473</v>
      </c>
      <c r="B674" s="4">
        <v>45391</v>
      </c>
      <c r="C674" s="6">
        <v>45421</v>
      </c>
      <c r="D674" t="s">
        <v>2599</v>
      </c>
      <c r="E674" t="s">
        <v>80</v>
      </c>
      <c r="F674" t="s">
        <v>81</v>
      </c>
      <c r="G674" t="s">
        <v>58</v>
      </c>
      <c r="H674" t="s">
        <v>66</v>
      </c>
      <c r="I674" t="s">
        <v>67</v>
      </c>
      <c r="J674" t="s">
        <v>39</v>
      </c>
      <c r="K674" t="s">
        <v>61</v>
      </c>
      <c r="L674" t="s">
        <v>1474</v>
      </c>
      <c r="M674" t="s">
        <v>55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31</v>
      </c>
      <c r="U674" t="s">
        <v>92</v>
      </c>
      <c r="V674">
        <f t="shared" si="41"/>
        <v>12010.5175</v>
      </c>
      <c r="W674">
        <f t="shared" si="42"/>
        <v>4145.9075000000003</v>
      </c>
      <c r="X674">
        <f t="shared" si="43"/>
        <v>34.51897472361204</v>
      </c>
      <c r="Y674">
        <f t="shared" si="44"/>
        <v>30</v>
      </c>
      <c r="Z674" t="str" cm="1">
        <f t="array" ref="Z674">_xlfn.IFS(Y674&lt;0, "Invalid Date", ISBLANK(G674), "Missing Region", TRUE, "Clean")</f>
        <v>Clean</v>
      </c>
    </row>
    <row r="675" spans="1:26">
      <c r="A675" t="s">
        <v>1475</v>
      </c>
      <c r="B675" s="4">
        <v>45701</v>
      </c>
      <c r="C675" s="6">
        <v>45704</v>
      </c>
      <c r="D675" t="s">
        <v>2600</v>
      </c>
      <c r="E675" t="s">
        <v>49</v>
      </c>
      <c r="F675" t="s">
        <v>35</v>
      </c>
      <c r="G675" t="s">
        <v>58</v>
      </c>
      <c r="H675" t="s">
        <v>25</v>
      </c>
      <c r="I675" t="s">
        <v>96</v>
      </c>
      <c r="J675" t="s">
        <v>39</v>
      </c>
      <c r="K675" t="s">
        <v>134</v>
      </c>
      <c r="L675" t="s">
        <v>1476</v>
      </c>
      <c r="M675" t="s">
        <v>30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31</v>
      </c>
      <c r="U675" t="s">
        <v>32</v>
      </c>
      <c r="V675">
        <f t="shared" si="41"/>
        <v>13847.86</v>
      </c>
      <c r="W675">
        <f t="shared" si="42"/>
        <v>5376.08</v>
      </c>
      <c r="X675">
        <f t="shared" si="43"/>
        <v>38.822460654570449</v>
      </c>
      <c r="Y675">
        <f t="shared" si="44"/>
        <v>3</v>
      </c>
      <c r="Z675" t="str" cm="1">
        <f t="array" ref="Z675">_xlfn.IFS(Y675&lt;0, "Invalid Date", ISBLANK(G675), "Missing Region", TRUE, "Clean")</f>
        <v>Clean</v>
      </c>
    </row>
    <row r="676" spans="1:26">
      <c r="A676" t="s">
        <v>1477</v>
      </c>
      <c r="B676" s="4">
        <v>45430</v>
      </c>
      <c r="C676" s="6">
        <v>45433</v>
      </c>
      <c r="D676" t="s">
        <v>2571</v>
      </c>
      <c r="E676" t="s">
        <v>65</v>
      </c>
      <c r="F676" t="s">
        <v>81</v>
      </c>
      <c r="G676" t="s">
        <v>36</v>
      </c>
      <c r="H676" t="s">
        <v>186</v>
      </c>
      <c r="I676" t="s">
        <v>187</v>
      </c>
      <c r="J676" t="s">
        <v>68</v>
      </c>
      <c r="K676" t="s">
        <v>69</v>
      </c>
      <c r="L676" t="s">
        <v>1478</v>
      </c>
      <c r="M676" t="s">
        <v>30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98</v>
      </c>
      <c r="U676" t="s">
        <v>92</v>
      </c>
      <c r="V676">
        <f t="shared" si="41"/>
        <v>1033.71</v>
      </c>
      <c r="W676">
        <f t="shared" si="42"/>
        <v>402.89</v>
      </c>
      <c r="X676">
        <f t="shared" si="43"/>
        <v>38.97514776871656</v>
      </c>
      <c r="Y676">
        <f t="shared" si="44"/>
        <v>3</v>
      </c>
      <c r="Z676" t="str" cm="1">
        <f t="array" ref="Z676">_xlfn.IFS(Y676&lt;0, "Invalid Date", ISBLANK(G676), "Missing Region", TRUE, "Clean")</f>
        <v>Clean</v>
      </c>
    </row>
    <row r="677" spans="1:26">
      <c r="A677" t="s">
        <v>1479</v>
      </c>
      <c r="B677" s="4">
        <v>45844</v>
      </c>
      <c r="C677" s="6">
        <v>45818</v>
      </c>
      <c r="D677" t="s">
        <v>2601</v>
      </c>
      <c r="E677" t="s">
        <v>111</v>
      </c>
      <c r="F677" t="s">
        <v>23</v>
      </c>
      <c r="G677" t="s">
        <v>24</v>
      </c>
      <c r="H677" t="s">
        <v>25</v>
      </c>
      <c r="I677" t="s">
        <v>26</v>
      </c>
      <c r="J677" t="s">
        <v>39</v>
      </c>
      <c r="K677" t="s">
        <v>53</v>
      </c>
      <c r="L677" t="s">
        <v>1480</v>
      </c>
      <c r="M677" t="s">
        <v>42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31</v>
      </c>
      <c r="U677" t="s">
        <v>32</v>
      </c>
      <c r="V677">
        <f t="shared" si="41"/>
        <v>2889.7799999999997</v>
      </c>
      <c r="W677">
        <f t="shared" si="42"/>
        <v>1078.5499999999997</v>
      </c>
      <c r="X677">
        <f t="shared" si="43"/>
        <v>37.322910394562903</v>
      </c>
      <c r="Y677">
        <f t="shared" si="44"/>
        <v>-26</v>
      </c>
      <c r="Z677" t="str" cm="1">
        <f t="array" ref="Z677">_xlfn.IFS(Y677&lt;0, "Invalid Date", ISBLANK(G677), "Missing Region", TRUE, "Clean")</f>
        <v>Invalid Date</v>
      </c>
    </row>
    <row r="678" spans="1:26">
      <c r="A678" t="s">
        <v>1481</v>
      </c>
      <c r="B678" s="4">
        <v>45911</v>
      </c>
      <c r="C678" s="6">
        <v>45918</v>
      </c>
      <c r="D678" t="s">
        <v>1951</v>
      </c>
      <c r="E678" t="s">
        <v>103</v>
      </c>
      <c r="F678" t="s">
        <v>35</v>
      </c>
      <c r="G678" t="s">
        <v>24</v>
      </c>
      <c r="H678" t="s">
        <v>270</v>
      </c>
      <c r="I678" t="s">
        <v>271</v>
      </c>
      <c r="J678" t="s">
        <v>68</v>
      </c>
      <c r="K678" t="s">
        <v>144</v>
      </c>
      <c r="L678" t="s">
        <v>1482</v>
      </c>
      <c r="M678" t="s">
        <v>42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31</v>
      </c>
      <c r="U678" t="s">
        <v>32</v>
      </c>
      <c r="V678">
        <f t="shared" si="41"/>
        <v>20296.699499999999</v>
      </c>
      <c r="W678">
        <f t="shared" si="42"/>
        <v>5375.829499999998</v>
      </c>
      <c r="X678">
        <f t="shared" si="43"/>
        <v>26.486225014071863</v>
      </c>
      <c r="Y678">
        <f t="shared" si="44"/>
        <v>7</v>
      </c>
      <c r="Z678" t="str" cm="1">
        <f t="array" ref="Z678">_xlfn.IFS(Y678&lt;0, "Invalid Date", ISBLANK(G678), "Missing Region", TRUE, "Clean")</f>
        <v>Clean</v>
      </c>
    </row>
    <row r="679" spans="1:26">
      <c r="A679" t="s">
        <v>1483</v>
      </c>
      <c r="B679" s="4">
        <v>45465</v>
      </c>
      <c r="C679" s="6">
        <v>45470</v>
      </c>
      <c r="D679" t="s">
        <v>2602</v>
      </c>
      <c r="E679" t="s">
        <v>44</v>
      </c>
      <c r="F679" t="s">
        <v>85</v>
      </c>
      <c r="G679" t="s">
        <v>50</v>
      </c>
      <c r="H679" t="s">
        <v>147</v>
      </c>
      <c r="I679" t="s">
        <v>148</v>
      </c>
      <c r="J679" t="s">
        <v>39</v>
      </c>
      <c r="K679" t="s">
        <v>61</v>
      </c>
      <c r="L679" t="s">
        <v>1484</v>
      </c>
      <c r="M679" t="s">
        <v>42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31</v>
      </c>
      <c r="U679" t="s">
        <v>32</v>
      </c>
      <c r="V679">
        <f t="shared" si="41"/>
        <v>18364.36</v>
      </c>
      <c r="W679">
        <f t="shared" si="42"/>
        <v>2918.5500000000011</v>
      </c>
      <c r="X679">
        <f t="shared" si="43"/>
        <v>15.892467801763857</v>
      </c>
      <c r="Y679">
        <f t="shared" si="44"/>
        <v>5</v>
      </c>
      <c r="Z679" t="str" cm="1">
        <f t="array" ref="Z679">_xlfn.IFS(Y679&lt;0, "Invalid Date", ISBLANK(G679), "Missing Region", TRUE, "Clean")</f>
        <v>Clean</v>
      </c>
    </row>
    <row r="680" spans="1:26">
      <c r="A680" t="s">
        <v>1485</v>
      </c>
      <c r="B680" s="4">
        <v>45620</v>
      </c>
      <c r="C680" s="6">
        <v>45627</v>
      </c>
      <c r="D680" t="s">
        <v>2603</v>
      </c>
      <c r="E680" t="s">
        <v>212</v>
      </c>
      <c r="F680" t="s">
        <v>81</v>
      </c>
      <c r="G680" t="s">
        <v>50</v>
      </c>
      <c r="H680" t="s">
        <v>147</v>
      </c>
      <c r="I680" t="s">
        <v>148</v>
      </c>
      <c r="J680" t="s">
        <v>39</v>
      </c>
      <c r="K680" t="s">
        <v>40</v>
      </c>
      <c r="L680" t="s">
        <v>1486</v>
      </c>
      <c r="M680" t="s">
        <v>30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31</v>
      </c>
      <c r="U680" t="s">
        <v>32</v>
      </c>
      <c r="V680">
        <f t="shared" si="41"/>
        <v>21141.6165</v>
      </c>
      <c r="W680">
        <f t="shared" si="42"/>
        <v>9465.2865000000002</v>
      </c>
      <c r="X680">
        <f t="shared" si="43"/>
        <v>44.770874071999181</v>
      </c>
      <c r="Y680">
        <f t="shared" si="44"/>
        <v>7</v>
      </c>
      <c r="Z680" t="str" cm="1">
        <f t="array" ref="Z680">_xlfn.IFS(Y680&lt;0, "Invalid Date", ISBLANK(G680), "Missing Region", TRUE, "Clean")</f>
        <v>Clean</v>
      </c>
    </row>
    <row r="681" spans="1:26">
      <c r="A681" t="s">
        <v>1487</v>
      </c>
      <c r="B681" s="4">
        <v>45885</v>
      </c>
      <c r="C681" s="6">
        <v>45892</v>
      </c>
      <c r="D681" t="s">
        <v>2604</v>
      </c>
      <c r="E681" t="s">
        <v>121</v>
      </c>
      <c r="F681" t="s">
        <v>81</v>
      </c>
      <c r="G681" t="s">
        <v>24</v>
      </c>
      <c r="H681" t="s">
        <v>106</v>
      </c>
      <c r="I681" t="s">
        <v>107</v>
      </c>
      <c r="J681" t="s">
        <v>68</v>
      </c>
      <c r="K681" t="s">
        <v>73</v>
      </c>
      <c r="L681" t="s">
        <v>1488</v>
      </c>
      <c r="M681" t="s">
        <v>42</v>
      </c>
      <c r="N681">
        <v>4</v>
      </c>
      <c r="O681">
        <v>1410.57</v>
      </c>
      <c r="P681" t="s">
        <v>347</v>
      </c>
      <c r="Q681">
        <v>5360.17</v>
      </c>
      <c r="R681">
        <v>3881.51</v>
      </c>
      <c r="S681">
        <v>1478.66</v>
      </c>
      <c r="T681" t="s">
        <v>91</v>
      </c>
      <c r="U681" t="s">
        <v>63</v>
      </c>
      <c r="V681">
        <f t="shared" si="41"/>
        <v>1692.6840000000002</v>
      </c>
      <c r="W681">
        <f t="shared" si="42"/>
        <v>-2188.826</v>
      </c>
      <c r="X681">
        <f t="shared" si="43"/>
        <v>-129.31096412561351</v>
      </c>
      <c r="Y681">
        <f t="shared" si="44"/>
        <v>7</v>
      </c>
      <c r="Z681" t="str" cm="1">
        <f t="array" ref="Z681">_xlfn.IFS(Y681&lt;0, "Invalid Date", ISBLANK(G681), "Missing Region", TRUE, "Clean")</f>
        <v>Clean</v>
      </c>
    </row>
    <row r="682" spans="1:26">
      <c r="A682" t="s">
        <v>1489</v>
      </c>
      <c r="B682" s="4">
        <v>45441</v>
      </c>
      <c r="C682" s="6">
        <v>45418</v>
      </c>
      <c r="D682" t="s">
        <v>2605</v>
      </c>
      <c r="E682" t="s">
        <v>212</v>
      </c>
      <c r="F682" t="s">
        <v>81</v>
      </c>
      <c r="G682" t="s">
        <v>50</v>
      </c>
      <c r="H682" t="s">
        <v>200</v>
      </c>
      <c r="I682" t="s">
        <v>201</v>
      </c>
      <c r="J682" t="s">
        <v>68</v>
      </c>
      <c r="K682" t="s">
        <v>69</v>
      </c>
      <c r="L682" t="s">
        <v>1490</v>
      </c>
      <c r="M682" t="s">
        <v>47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31</v>
      </c>
      <c r="U682" t="s">
        <v>32</v>
      </c>
      <c r="V682">
        <f t="shared" si="41"/>
        <v>14800.96</v>
      </c>
      <c r="W682">
        <f t="shared" si="42"/>
        <v>2752.5699999999997</v>
      </c>
      <c r="X682">
        <f t="shared" si="43"/>
        <v>18.597239638509933</v>
      </c>
      <c r="Y682">
        <f t="shared" si="44"/>
        <v>-23</v>
      </c>
      <c r="Z682" t="str" cm="1">
        <f t="array" ref="Z682">_xlfn.IFS(Y682&lt;0, "Invalid Date", ISBLANK(G682), "Missing Region", TRUE, "Clean")</f>
        <v>Invalid Date</v>
      </c>
    </row>
    <row r="683" spans="1:26">
      <c r="A683" t="s">
        <v>1491</v>
      </c>
      <c r="B683" s="4">
        <v>45477</v>
      </c>
      <c r="C683" s="6">
        <v>45572</v>
      </c>
      <c r="D683" t="s">
        <v>2606</v>
      </c>
      <c r="E683" t="s">
        <v>65</v>
      </c>
      <c r="F683" t="s">
        <v>81</v>
      </c>
      <c r="G683" t="s">
        <v>24</v>
      </c>
      <c r="H683" t="s">
        <v>270</v>
      </c>
      <c r="I683" t="s">
        <v>271</v>
      </c>
      <c r="J683" t="s">
        <v>39</v>
      </c>
      <c r="K683" t="s">
        <v>40</v>
      </c>
      <c r="L683" t="s">
        <v>1492</v>
      </c>
      <c r="M683" t="s">
        <v>30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31</v>
      </c>
      <c r="U683" t="s">
        <v>63</v>
      </c>
      <c r="V683">
        <f t="shared" si="41"/>
        <v>6001.35</v>
      </c>
      <c r="W683">
        <f t="shared" si="42"/>
        <v>1818.3600000000006</v>
      </c>
      <c r="X683">
        <f t="shared" si="43"/>
        <v>30.299182683896131</v>
      </c>
      <c r="Y683">
        <f t="shared" si="44"/>
        <v>95</v>
      </c>
      <c r="Z683" t="str" cm="1">
        <f t="array" ref="Z683">_xlfn.IFS(Y683&lt;0, "Invalid Date", ISBLANK(G683), "Missing Region", TRUE, "Clean")</f>
        <v>Clean</v>
      </c>
    </row>
    <row r="684" spans="1:26">
      <c r="A684" t="s">
        <v>1493</v>
      </c>
      <c r="B684" s="4">
        <v>45779</v>
      </c>
      <c r="C684" s="6">
        <v>45779</v>
      </c>
      <c r="D684" t="s">
        <v>2607</v>
      </c>
      <c r="E684" t="s">
        <v>57</v>
      </c>
      <c r="F684" t="s">
        <v>81</v>
      </c>
      <c r="G684" t="s">
        <v>24</v>
      </c>
      <c r="H684" t="s">
        <v>192</v>
      </c>
      <c r="I684" t="s">
        <v>193</v>
      </c>
      <c r="J684" t="s">
        <v>27</v>
      </c>
      <c r="K684" t="s">
        <v>108</v>
      </c>
      <c r="L684" t="s">
        <v>1494</v>
      </c>
      <c r="M684" t="s">
        <v>42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31</v>
      </c>
      <c r="U684" t="s">
        <v>32</v>
      </c>
      <c r="V684">
        <f t="shared" si="41"/>
        <v>7772.34</v>
      </c>
      <c r="W684">
        <f t="shared" si="42"/>
        <v>3658.6800000000003</v>
      </c>
      <c r="X684">
        <f t="shared" si="43"/>
        <v>47.073082237781676</v>
      </c>
      <c r="Y684">
        <f t="shared" si="44"/>
        <v>0</v>
      </c>
      <c r="Z684" t="str" cm="1">
        <f t="array" ref="Z684">_xlfn.IFS(Y684&lt;0, "Invalid Date", ISBLANK(G684), "Missing Region", TRUE, "Clean")</f>
        <v>Clean</v>
      </c>
    </row>
    <row r="685" spans="1:26">
      <c r="A685" t="s">
        <v>1495</v>
      </c>
      <c r="B685" s="4">
        <v>45858</v>
      </c>
      <c r="C685" s="6">
        <v>45862</v>
      </c>
      <c r="D685" t="s">
        <v>2608</v>
      </c>
      <c r="E685" t="s">
        <v>49</v>
      </c>
      <c r="F685" t="s">
        <v>35</v>
      </c>
      <c r="G685" t="s">
        <v>50</v>
      </c>
      <c r="H685" t="s">
        <v>51</v>
      </c>
      <c r="I685" t="s">
        <v>52</v>
      </c>
      <c r="J685" t="s">
        <v>39</v>
      </c>
      <c r="K685" t="s">
        <v>53</v>
      </c>
      <c r="L685" t="s">
        <v>1496</v>
      </c>
      <c r="M685" t="s">
        <v>30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91</v>
      </c>
      <c r="U685" t="s">
        <v>63</v>
      </c>
      <c r="V685">
        <f t="shared" si="41"/>
        <v>7902.9600000000009</v>
      </c>
      <c r="W685">
        <f t="shared" si="42"/>
        <v>2390.9300000000012</v>
      </c>
      <c r="X685">
        <f t="shared" si="43"/>
        <v>30.253601182341818</v>
      </c>
      <c r="Y685">
        <f t="shared" si="44"/>
        <v>4</v>
      </c>
      <c r="Z685" t="str" cm="1">
        <f t="array" ref="Z685">_xlfn.IFS(Y685&lt;0, "Invalid Date", ISBLANK(G685), "Missing Region", TRUE, "Clean")</f>
        <v>Clean</v>
      </c>
    </row>
    <row r="686" spans="1:26">
      <c r="A686" t="s">
        <v>1497</v>
      </c>
      <c r="B686" s="4">
        <v>45859</v>
      </c>
      <c r="C686" s="6">
        <v>45859</v>
      </c>
      <c r="D686" t="s">
        <v>2506</v>
      </c>
      <c r="E686" t="s">
        <v>44</v>
      </c>
      <c r="F686" t="s">
        <v>85</v>
      </c>
      <c r="G686" t="s">
        <v>50</v>
      </c>
      <c r="H686" t="s">
        <v>200</v>
      </c>
      <c r="I686" t="s">
        <v>201</v>
      </c>
      <c r="J686" t="s">
        <v>39</v>
      </c>
      <c r="K686" t="s">
        <v>134</v>
      </c>
      <c r="L686" t="s">
        <v>1498</v>
      </c>
      <c r="M686" t="s">
        <v>47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91</v>
      </c>
      <c r="U686" t="s">
        <v>63</v>
      </c>
      <c r="V686">
        <f t="shared" si="41"/>
        <v>24621.239999999998</v>
      </c>
      <c r="W686">
        <f t="shared" si="42"/>
        <v>7465.7599999999984</v>
      </c>
      <c r="X686">
        <f t="shared" si="43"/>
        <v>30.322437050286659</v>
      </c>
      <c r="Y686">
        <f t="shared" si="44"/>
        <v>0</v>
      </c>
      <c r="Z686" t="str" cm="1">
        <f t="array" ref="Z686">_xlfn.IFS(Y686&lt;0, "Invalid Date", ISBLANK(G686), "Missing Region", TRUE, "Clean")</f>
        <v>Clean</v>
      </c>
    </row>
    <row r="687" spans="1:26">
      <c r="A687" t="s">
        <v>1499</v>
      </c>
      <c r="B687" s="4">
        <v>45667</v>
      </c>
      <c r="C687" s="6">
        <v>45726</v>
      </c>
      <c r="D687" t="s">
        <v>2609</v>
      </c>
      <c r="E687" t="s">
        <v>72</v>
      </c>
      <c r="F687" t="s">
        <v>81</v>
      </c>
      <c r="G687" t="s">
        <v>58</v>
      </c>
      <c r="H687" t="s">
        <v>159</v>
      </c>
      <c r="I687" t="s">
        <v>160</v>
      </c>
      <c r="J687" t="s">
        <v>27</v>
      </c>
      <c r="K687" t="s">
        <v>45</v>
      </c>
      <c r="L687" t="s">
        <v>1500</v>
      </c>
      <c r="M687" t="s">
        <v>55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132</v>
      </c>
      <c r="U687" t="s">
        <v>63</v>
      </c>
      <c r="V687">
        <f t="shared" si="41"/>
        <v>3313.5074999999993</v>
      </c>
      <c r="W687">
        <f t="shared" si="42"/>
        <v>-2293.2825000000007</v>
      </c>
      <c r="X687">
        <f t="shared" si="43"/>
        <v>-69.210119488185896</v>
      </c>
      <c r="Y687">
        <f t="shared" si="44"/>
        <v>59</v>
      </c>
      <c r="Z687" t="str" cm="1">
        <f t="array" ref="Z687">_xlfn.IFS(Y687&lt;0, "Invalid Date", ISBLANK(G687), "Missing Region", TRUE, "Clean")</f>
        <v>Clean</v>
      </c>
    </row>
    <row r="688" spans="1:26">
      <c r="A688" t="s">
        <v>1501</v>
      </c>
      <c r="B688" s="4">
        <v>45376</v>
      </c>
      <c r="C688" s="6">
        <v>45384</v>
      </c>
      <c r="D688" t="s">
        <v>2610</v>
      </c>
      <c r="E688" t="s">
        <v>114</v>
      </c>
      <c r="F688" t="s">
        <v>85</v>
      </c>
      <c r="G688" t="s">
        <v>50</v>
      </c>
      <c r="H688" t="s">
        <v>200</v>
      </c>
      <c r="I688" t="s">
        <v>201</v>
      </c>
      <c r="J688" t="s">
        <v>68</v>
      </c>
      <c r="K688" t="s">
        <v>73</v>
      </c>
      <c r="L688" t="s">
        <v>1502</v>
      </c>
      <c r="M688" t="s">
        <v>55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31</v>
      </c>
      <c r="U688" t="s">
        <v>32</v>
      </c>
      <c r="V688">
        <f t="shared" si="41"/>
        <v>4698.26</v>
      </c>
      <c r="W688">
        <f t="shared" si="42"/>
        <v>2043.3400000000001</v>
      </c>
      <c r="X688">
        <f t="shared" si="43"/>
        <v>43.491420227914162</v>
      </c>
      <c r="Y688">
        <f t="shared" si="44"/>
        <v>8</v>
      </c>
      <c r="Z688" t="str" cm="1">
        <f t="array" ref="Z688">_xlfn.IFS(Y688&lt;0, "Invalid Date", ISBLANK(G688), "Missing Region", TRUE, "Clean")</f>
        <v>Clean</v>
      </c>
    </row>
    <row r="689" spans="1:26">
      <c r="A689" t="s">
        <v>1503</v>
      </c>
      <c r="B689" s="4">
        <v>45879</v>
      </c>
      <c r="C689" s="6">
        <v>45943</v>
      </c>
      <c r="D689" t="s">
        <v>2611</v>
      </c>
      <c r="E689" t="s">
        <v>34</v>
      </c>
      <c r="F689" t="s">
        <v>85</v>
      </c>
      <c r="G689" t="s">
        <v>24</v>
      </c>
      <c r="H689" t="s">
        <v>106</v>
      </c>
      <c r="I689" t="s">
        <v>107</v>
      </c>
      <c r="J689" t="s">
        <v>39</v>
      </c>
      <c r="K689" t="s">
        <v>40</v>
      </c>
      <c r="L689" t="s">
        <v>1504</v>
      </c>
      <c r="M689" t="s">
        <v>47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132</v>
      </c>
      <c r="U689" t="s">
        <v>63</v>
      </c>
      <c r="V689">
        <f t="shared" si="41"/>
        <v>688.2</v>
      </c>
      <c r="W689">
        <f t="shared" si="42"/>
        <v>190.52000000000004</v>
      </c>
      <c r="X689">
        <f t="shared" si="43"/>
        <v>27.683812845103173</v>
      </c>
      <c r="Y689">
        <f t="shared" si="44"/>
        <v>64</v>
      </c>
      <c r="Z689" t="str" cm="1">
        <f t="array" ref="Z689">_xlfn.IFS(Y689&lt;0, "Invalid Date", ISBLANK(G689), "Missing Region", TRUE, "Clean")</f>
        <v>Clean</v>
      </c>
    </row>
    <row r="690" spans="1:26">
      <c r="A690" t="s">
        <v>1505</v>
      </c>
      <c r="B690" s="4">
        <v>45714</v>
      </c>
      <c r="C690" s="6">
        <v>45715</v>
      </c>
      <c r="D690" t="s">
        <v>2612</v>
      </c>
      <c r="E690" t="s">
        <v>72</v>
      </c>
      <c r="F690" t="s">
        <v>85</v>
      </c>
      <c r="G690" t="s">
        <v>24</v>
      </c>
      <c r="H690" t="s">
        <v>192</v>
      </c>
      <c r="I690" t="s">
        <v>193</v>
      </c>
      <c r="J690" t="s">
        <v>27</v>
      </c>
      <c r="K690" t="s">
        <v>45</v>
      </c>
      <c r="L690" t="s">
        <v>1506</v>
      </c>
      <c r="M690" t="s">
        <v>30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31</v>
      </c>
      <c r="U690" t="s">
        <v>32</v>
      </c>
      <c r="V690">
        <f t="shared" si="41"/>
        <v>15492.065999999999</v>
      </c>
      <c r="W690">
        <f t="shared" si="42"/>
        <v>2910.8359999999993</v>
      </c>
      <c r="X690">
        <f t="shared" si="43"/>
        <v>18.789204745190212</v>
      </c>
      <c r="Y690">
        <f t="shared" si="44"/>
        <v>1</v>
      </c>
      <c r="Z690" t="str" cm="1">
        <f t="array" ref="Z690">_xlfn.IFS(Y690&lt;0, "Invalid Date", ISBLANK(G690), "Missing Region", TRUE, "Clean")</f>
        <v>Clean</v>
      </c>
    </row>
    <row r="691" spans="1:26">
      <c r="A691" t="s">
        <v>1507</v>
      </c>
      <c r="B691" s="4">
        <v>45422</v>
      </c>
      <c r="C691" s="6">
        <v>45453</v>
      </c>
      <c r="D691" t="s">
        <v>2613</v>
      </c>
      <c r="E691" t="s">
        <v>121</v>
      </c>
      <c r="F691" t="s">
        <v>35</v>
      </c>
      <c r="G691" t="s">
        <v>24</v>
      </c>
      <c r="H691" t="s">
        <v>106</v>
      </c>
      <c r="I691" t="s">
        <v>107</v>
      </c>
      <c r="J691" t="s">
        <v>39</v>
      </c>
      <c r="K691" t="s">
        <v>40</v>
      </c>
      <c r="L691" t="s">
        <v>1508</v>
      </c>
      <c r="M691" t="s">
        <v>55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132</v>
      </c>
      <c r="U691" t="s">
        <v>63</v>
      </c>
      <c r="V691">
        <f t="shared" si="41"/>
        <v>3745.2870000000003</v>
      </c>
      <c r="W691">
        <f t="shared" si="42"/>
        <v>1442.6370000000002</v>
      </c>
      <c r="X691">
        <f t="shared" si="43"/>
        <v>38.518730340291683</v>
      </c>
      <c r="Y691">
        <f t="shared" si="44"/>
        <v>31</v>
      </c>
      <c r="Z691" t="str" cm="1">
        <f t="array" ref="Z691">_xlfn.IFS(Y691&lt;0, "Invalid Date", ISBLANK(G691), "Missing Region", TRUE, "Clean")</f>
        <v>Clean</v>
      </c>
    </row>
    <row r="692" spans="1:26">
      <c r="A692" t="s">
        <v>1509</v>
      </c>
      <c r="B692" s="4">
        <v>45546</v>
      </c>
      <c r="C692" s="6">
        <v>45550</v>
      </c>
      <c r="D692" t="s">
        <v>2614</v>
      </c>
      <c r="E692" t="s">
        <v>114</v>
      </c>
      <c r="F692" t="s">
        <v>81</v>
      </c>
      <c r="G692" t="s">
        <v>50</v>
      </c>
      <c r="H692" t="s">
        <v>200</v>
      </c>
      <c r="I692" t="s">
        <v>201</v>
      </c>
      <c r="J692" t="s">
        <v>27</v>
      </c>
      <c r="K692" t="s">
        <v>45</v>
      </c>
      <c r="L692" t="s">
        <v>1510</v>
      </c>
      <c r="M692" t="s">
        <v>55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132</v>
      </c>
      <c r="U692" t="s">
        <v>92</v>
      </c>
      <c r="V692">
        <f t="shared" si="41"/>
        <v>3462.52</v>
      </c>
      <c r="W692">
        <f t="shared" si="42"/>
        <v>665.23</v>
      </c>
      <c r="X692">
        <f t="shared" si="43"/>
        <v>19.212307798944124</v>
      </c>
      <c r="Y692">
        <f t="shared" si="44"/>
        <v>4</v>
      </c>
      <c r="Z692" t="str" cm="1">
        <f t="array" ref="Z692">_xlfn.IFS(Y692&lt;0, "Invalid Date", ISBLANK(G692), "Missing Region", TRUE, "Clean")</f>
        <v>Clean</v>
      </c>
    </row>
    <row r="693" spans="1:26">
      <c r="A693" t="s">
        <v>1511</v>
      </c>
      <c r="B693" s="4">
        <v>45641</v>
      </c>
      <c r="C693" s="6">
        <v>45642</v>
      </c>
      <c r="D693" t="s">
        <v>2615</v>
      </c>
      <c r="E693" t="s">
        <v>121</v>
      </c>
      <c r="F693" t="s">
        <v>23</v>
      </c>
      <c r="G693" t="s">
        <v>36</v>
      </c>
      <c r="H693" t="s">
        <v>37</v>
      </c>
      <c r="I693" t="s">
        <v>38</v>
      </c>
      <c r="J693" t="s">
        <v>68</v>
      </c>
      <c r="K693" t="s">
        <v>73</v>
      </c>
      <c r="L693" t="s">
        <v>1512</v>
      </c>
      <c r="M693" t="s">
        <v>30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31</v>
      </c>
      <c r="U693" t="s">
        <v>32</v>
      </c>
      <c r="V693">
        <f t="shared" si="41"/>
        <v>8767.1699999999983</v>
      </c>
      <c r="W693">
        <f t="shared" si="42"/>
        <v>3668.9699999999984</v>
      </c>
      <c r="X693">
        <f t="shared" si="43"/>
        <v>41.848966085977565</v>
      </c>
      <c r="Y693">
        <f t="shared" si="44"/>
        <v>1</v>
      </c>
      <c r="Z693" t="str" cm="1">
        <f t="array" ref="Z693">_xlfn.IFS(Y693&lt;0, "Invalid Date", ISBLANK(G693), "Missing Region", TRUE, "Clean")</f>
        <v>Clean</v>
      </c>
    </row>
    <row r="694" spans="1:26">
      <c r="A694" t="s">
        <v>1513</v>
      </c>
      <c r="B694" s="4">
        <v>45787</v>
      </c>
      <c r="C694" s="6">
        <v>45940</v>
      </c>
      <c r="D694" t="s">
        <v>2616</v>
      </c>
      <c r="E694" t="s">
        <v>44</v>
      </c>
      <c r="F694" t="s">
        <v>81</v>
      </c>
      <c r="G694" t="s">
        <v>50</v>
      </c>
      <c r="H694" t="s">
        <v>147</v>
      </c>
      <c r="I694" t="s">
        <v>148</v>
      </c>
      <c r="J694" t="s">
        <v>39</v>
      </c>
      <c r="K694" t="s">
        <v>53</v>
      </c>
      <c r="L694" t="s">
        <v>1514</v>
      </c>
      <c r="M694" t="s">
        <v>30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31</v>
      </c>
      <c r="U694" t="s">
        <v>32</v>
      </c>
      <c r="V694">
        <f t="shared" si="41"/>
        <v>8516.4480000000003</v>
      </c>
      <c r="W694">
        <f t="shared" si="42"/>
        <v>2612.6379999999999</v>
      </c>
      <c r="X694">
        <f t="shared" si="43"/>
        <v>30.677554774009071</v>
      </c>
      <c r="Y694">
        <f t="shared" si="44"/>
        <v>153</v>
      </c>
      <c r="Z694" t="str" cm="1">
        <f t="array" ref="Z694">_xlfn.IFS(Y694&lt;0, "Invalid Date", ISBLANK(G694), "Missing Region", TRUE, "Clean")</f>
        <v>Clean</v>
      </c>
    </row>
    <row r="695" spans="1:26">
      <c r="A695" t="s">
        <v>1515</v>
      </c>
      <c r="B695" s="4">
        <v>45720</v>
      </c>
      <c r="C695" s="6">
        <v>45965</v>
      </c>
      <c r="D695" t="s">
        <v>2288</v>
      </c>
      <c r="E695" t="s">
        <v>49</v>
      </c>
      <c r="F695" t="s">
        <v>23</v>
      </c>
      <c r="G695" t="s">
        <v>50</v>
      </c>
      <c r="H695" t="s">
        <v>200</v>
      </c>
      <c r="I695" t="s">
        <v>201</v>
      </c>
      <c r="J695" t="s">
        <v>39</v>
      </c>
      <c r="K695" t="s">
        <v>134</v>
      </c>
      <c r="L695" t="s">
        <v>1516</v>
      </c>
      <c r="M695" t="s">
        <v>30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31</v>
      </c>
      <c r="U695" t="s">
        <v>32</v>
      </c>
      <c r="V695">
        <f t="shared" si="41"/>
        <v>11826.844500000001</v>
      </c>
      <c r="W695">
        <f t="shared" si="42"/>
        <v>3790.884500000001</v>
      </c>
      <c r="X695">
        <f t="shared" si="43"/>
        <v>32.053220112938838</v>
      </c>
      <c r="Y695">
        <f t="shared" si="44"/>
        <v>245</v>
      </c>
      <c r="Z695" t="str" cm="1">
        <f t="array" ref="Z695">_xlfn.IFS(Y695&lt;0, "Invalid Date", ISBLANK(G695), "Missing Region", TRUE, "Clean")</f>
        <v>Clean</v>
      </c>
    </row>
    <row r="696" spans="1:26">
      <c r="A696" t="s">
        <v>1517</v>
      </c>
      <c r="B696" s="4">
        <v>45665</v>
      </c>
      <c r="C696" s="6">
        <v>45908</v>
      </c>
      <c r="D696" t="s">
        <v>2617</v>
      </c>
      <c r="E696" t="s">
        <v>44</v>
      </c>
      <c r="F696" t="s">
        <v>23</v>
      </c>
      <c r="G696" t="s">
        <v>50</v>
      </c>
      <c r="H696" t="s">
        <v>76</v>
      </c>
      <c r="I696" t="s">
        <v>77</v>
      </c>
      <c r="J696" t="s">
        <v>27</v>
      </c>
      <c r="K696" t="s">
        <v>108</v>
      </c>
      <c r="L696" t="s">
        <v>1518</v>
      </c>
      <c r="M696" t="s">
        <v>47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31</v>
      </c>
      <c r="U696" t="s">
        <v>32</v>
      </c>
      <c r="V696">
        <f t="shared" si="41"/>
        <v>11629.019999999999</v>
      </c>
      <c r="W696">
        <f t="shared" si="42"/>
        <v>2001.8099999999995</v>
      </c>
      <c r="X696">
        <f t="shared" si="43"/>
        <v>17.213918283741876</v>
      </c>
      <c r="Y696">
        <f t="shared" si="44"/>
        <v>243</v>
      </c>
      <c r="Z696" t="str" cm="1">
        <f t="array" ref="Z696">_xlfn.IFS(Y696&lt;0, "Invalid Date", ISBLANK(G696), "Missing Region", TRUE, "Clean")</f>
        <v>Clean</v>
      </c>
    </row>
    <row r="697" spans="1:26">
      <c r="A697" t="s">
        <v>1519</v>
      </c>
      <c r="B697" s="4">
        <v>45298</v>
      </c>
      <c r="C697" s="6">
        <v>45298</v>
      </c>
      <c r="D697" t="s">
        <v>2618</v>
      </c>
      <c r="E697" t="s">
        <v>111</v>
      </c>
      <c r="F697" t="s">
        <v>23</v>
      </c>
      <c r="G697" t="s">
        <v>58</v>
      </c>
      <c r="H697" t="s">
        <v>66</v>
      </c>
      <c r="I697" t="s">
        <v>67</v>
      </c>
      <c r="J697" t="s">
        <v>68</v>
      </c>
      <c r="K697" t="s">
        <v>219</v>
      </c>
      <c r="L697" t="s">
        <v>1520</v>
      </c>
      <c r="M697" t="s">
        <v>55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31</v>
      </c>
      <c r="U697" t="s">
        <v>32</v>
      </c>
      <c r="V697">
        <f t="shared" si="41"/>
        <v>1029.56</v>
      </c>
      <c r="W697">
        <f t="shared" si="42"/>
        <v>403.2299999999999</v>
      </c>
      <c r="X697">
        <f t="shared" si="43"/>
        <v>39.165274486188267</v>
      </c>
      <c r="Y697">
        <f t="shared" si="44"/>
        <v>0</v>
      </c>
      <c r="Z697" t="str" cm="1">
        <f t="array" ref="Z697">_xlfn.IFS(Y697&lt;0, "Invalid Date", ISBLANK(G697), "Missing Region", TRUE, "Clean")</f>
        <v>Clean</v>
      </c>
    </row>
    <row r="698" spans="1:26">
      <c r="A698" t="s">
        <v>1521</v>
      </c>
      <c r="B698" s="4">
        <v>45922</v>
      </c>
      <c r="C698" s="6">
        <v>45925</v>
      </c>
      <c r="D698" t="s">
        <v>2619</v>
      </c>
      <c r="E698" t="s">
        <v>44</v>
      </c>
      <c r="F698" t="s">
        <v>35</v>
      </c>
      <c r="G698" t="s">
        <v>50</v>
      </c>
      <c r="H698" t="s">
        <v>155</v>
      </c>
      <c r="I698" t="s">
        <v>156</v>
      </c>
      <c r="J698" t="s">
        <v>68</v>
      </c>
      <c r="K698" t="s">
        <v>144</v>
      </c>
      <c r="L698" t="s">
        <v>1522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31</v>
      </c>
      <c r="U698" t="s">
        <v>32</v>
      </c>
      <c r="V698">
        <f t="shared" si="41"/>
        <v>3536.5199999999995</v>
      </c>
      <c r="W698">
        <f t="shared" si="42"/>
        <v>1434.1099999999997</v>
      </c>
      <c r="X698">
        <f t="shared" si="43"/>
        <v>40.551446054313281</v>
      </c>
      <c r="Y698">
        <f t="shared" si="44"/>
        <v>3</v>
      </c>
      <c r="Z698" t="str" cm="1">
        <f t="array" ref="Z698">_xlfn.IFS(Y698&lt;0, "Invalid Date", ISBLANK(G698), "Missing Region", TRUE, "Clean")</f>
        <v>Clean</v>
      </c>
    </row>
    <row r="699" spans="1:26">
      <c r="A699" t="s">
        <v>1523</v>
      </c>
      <c r="B699" s="4">
        <v>45717</v>
      </c>
      <c r="C699" s="6">
        <v>45841</v>
      </c>
      <c r="D699" t="s">
        <v>2620</v>
      </c>
      <c r="E699" t="s">
        <v>49</v>
      </c>
      <c r="F699" t="s">
        <v>81</v>
      </c>
      <c r="G699" t="s">
        <v>50</v>
      </c>
      <c r="H699" t="s">
        <v>76</v>
      </c>
      <c r="I699" t="s">
        <v>77</v>
      </c>
      <c r="J699" t="s">
        <v>27</v>
      </c>
      <c r="K699" t="s">
        <v>82</v>
      </c>
      <c r="L699" t="s">
        <v>1524</v>
      </c>
      <c r="M699" t="s">
        <v>47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91</v>
      </c>
      <c r="U699" t="s">
        <v>92</v>
      </c>
      <c r="V699">
        <f t="shared" si="41"/>
        <v>3970.0499999999997</v>
      </c>
      <c r="W699">
        <f t="shared" si="42"/>
        <v>2120.75</v>
      </c>
      <c r="X699">
        <f t="shared" si="43"/>
        <v>53.418722686112275</v>
      </c>
      <c r="Y699">
        <f t="shared" si="44"/>
        <v>124</v>
      </c>
      <c r="Z699" t="str" cm="1">
        <f t="array" ref="Z699">_xlfn.IFS(Y699&lt;0, "Invalid Date", ISBLANK(G699), "Missing Region", TRUE, "Clean")</f>
        <v>Clean</v>
      </c>
    </row>
    <row r="700" spans="1:26">
      <c r="A700" t="s">
        <v>1525</v>
      </c>
      <c r="B700" s="4">
        <v>45549</v>
      </c>
      <c r="C700" s="6">
        <v>45549</v>
      </c>
      <c r="D700" t="s">
        <v>2621</v>
      </c>
      <c r="E700" t="s">
        <v>34</v>
      </c>
      <c r="F700" t="s">
        <v>81</v>
      </c>
      <c r="G700" t="s">
        <v>24</v>
      </c>
      <c r="H700" t="s">
        <v>25</v>
      </c>
      <c r="I700" t="s">
        <v>26</v>
      </c>
      <c r="J700" t="s">
        <v>68</v>
      </c>
      <c r="K700" t="s">
        <v>219</v>
      </c>
      <c r="L700" t="s">
        <v>1526</v>
      </c>
      <c r="M700" t="s">
        <v>55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31</v>
      </c>
      <c r="U700" t="s">
        <v>92</v>
      </c>
      <c r="V700">
        <f t="shared" si="41"/>
        <v>27755.287999999997</v>
      </c>
      <c r="W700">
        <f t="shared" si="42"/>
        <v>4003.377999999997</v>
      </c>
      <c r="X700">
        <f t="shared" si="43"/>
        <v>14.423838801456492</v>
      </c>
      <c r="Y700">
        <f t="shared" si="44"/>
        <v>0</v>
      </c>
      <c r="Z700" t="str" cm="1">
        <f t="array" ref="Z700">_xlfn.IFS(Y700&lt;0, "Invalid Date", ISBLANK(G700), "Missing Region", TRUE, "Clean")</f>
        <v>Clean</v>
      </c>
    </row>
    <row r="701" spans="1:26">
      <c r="A701" t="s">
        <v>1527</v>
      </c>
      <c r="B701" s="4">
        <v>45602</v>
      </c>
      <c r="C701" s="6">
        <v>45602</v>
      </c>
      <c r="D701" t="s">
        <v>2622</v>
      </c>
      <c r="E701" t="s">
        <v>49</v>
      </c>
      <c r="F701" t="s">
        <v>35</v>
      </c>
      <c r="G701" t="s">
        <v>50</v>
      </c>
      <c r="H701" t="s">
        <v>147</v>
      </c>
      <c r="I701" t="s">
        <v>148</v>
      </c>
      <c r="J701" t="s">
        <v>39</v>
      </c>
      <c r="K701" t="s">
        <v>134</v>
      </c>
      <c r="L701" t="s">
        <v>1528</v>
      </c>
      <c r="M701" t="s">
        <v>55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31</v>
      </c>
      <c r="U701" t="s">
        <v>32</v>
      </c>
      <c r="V701">
        <f t="shared" si="41"/>
        <v>9450.7425000000003</v>
      </c>
      <c r="W701">
        <f t="shared" si="42"/>
        <v>1652.1824999999999</v>
      </c>
      <c r="X701">
        <f t="shared" si="43"/>
        <v>17.482039109625511</v>
      </c>
      <c r="Y701">
        <f t="shared" si="44"/>
        <v>0</v>
      </c>
      <c r="Z701" t="str" cm="1">
        <f t="array" ref="Z701">_xlfn.IFS(Y701&lt;0, "Invalid Date", ISBLANK(G701), "Missing Region", TRUE, "Clean")</f>
        <v>Clean</v>
      </c>
    </row>
    <row r="702" spans="1:26">
      <c r="A702" t="s">
        <v>1529</v>
      </c>
      <c r="B702" s="4">
        <v>45553</v>
      </c>
      <c r="C702" s="6">
        <v>45556</v>
      </c>
      <c r="D702" t="s">
        <v>2623</v>
      </c>
      <c r="E702" t="s">
        <v>72</v>
      </c>
      <c r="F702" t="s">
        <v>81</v>
      </c>
      <c r="G702" t="s">
        <v>36</v>
      </c>
      <c r="H702" t="s">
        <v>88</v>
      </c>
      <c r="I702" t="s">
        <v>89</v>
      </c>
      <c r="J702" t="s">
        <v>68</v>
      </c>
      <c r="K702" t="s">
        <v>219</v>
      </c>
      <c r="L702" t="s">
        <v>1530</v>
      </c>
      <c r="M702" t="s">
        <v>55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31</v>
      </c>
      <c r="U702" t="s">
        <v>32</v>
      </c>
      <c r="V702">
        <f t="shared" si="41"/>
        <v>7792.5450000000001</v>
      </c>
      <c r="W702">
        <f t="shared" si="42"/>
        <v>3100.8150000000005</v>
      </c>
      <c r="X702">
        <f t="shared" si="43"/>
        <v>39.792070498149201</v>
      </c>
      <c r="Y702">
        <f t="shared" si="44"/>
        <v>3</v>
      </c>
      <c r="Z702" t="str" cm="1">
        <f t="array" ref="Z702">_xlfn.IFS(Y702&lt;0, "Invalid Date", ISBLANK(G702), "Missing Region", TRUE, "Clean")</f>
        <v>Clean</v>
      </c>
    </row>
    <row r="703" spans="1:26">
      <c r="A703" t="s">
        <v>1531</v>
      </c>
      <c r="B703" s="4">
        <v>45412</v>
      </c>
      <c r="C703" s="6">
        <v>45387</v>
      </c>
      <c r="D703" t="s">
        <v>2624</v>
      </c>
      <c r="E703" t="s">
        <v>121</v>
      </c>
      <c r="F703" t="s">
        <v>35</v>
      </c>
      <c r="G703" t="s">
        <v>58</v>
      </c>
      <c r="H703" t="s">
        <v>151</v>
      </c>
      <c r="I703" t="s">
        <v>152</v>
      </c>
      <c r="J703" t="s">
        <v>27</v>
      </c>
      <c r="K703" t="s">
        <v>45</v>
      </c>
      <c r="L703" t="s">
        <v>1532</v>
      </c>
      <c r="M703" t="s">
        <v>42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31</v>
      </c>
      <c r="U703" t="s">
        <v>92</v>
      </c>
      <c r="V703">
        <f t="shared" si="41"/>
        <v>8574.58</v>
      </c>
      <c r="W703">
        <f t="shared" si="42"/>
        <v>1888.7699999999995</v>
      </c>
      <c r="X703">
        <f t="shared" si="43"/>
        <v>22.027551203674111</v>
      </c>
      <c r="Y703">
        <f t="shared" si="44"/>
        <v>-25</v>
      </c>
      <c r="Z703" t="str" cm="1">
        <f t="array" ref="Z703">_xlfn.IFS(Y703&lt;0, "Invalid Date", ISBLANK(G703), "Missing Region", TRUE, "Clean")</f>
        <v>Invalid Date</v>
      </c>
    </row>
    <row r="704" spans="1:26">
      <c r="A704" t="s">
        <v>1533</v>
      </c>
      <c r="B704" s="4">
        <v>45690</v>
      </c>
      <c r="C704" s="6">
        <v>45694</v>
      </c>
      <c r="D704" t="s">
        <v>2625</v>
      </c>
      <c r="E704" t="s">
        <v>22</v>
      </c>
      <c r="F704" t="s">
        <v>35</v>
      </c>
      <c r="G704" t="s">
        <v>58</v>
      </c>
      <c r="H704" t="s">
        <v>25</v>
      </c>
      <c r="I704" t="s">
        <v>96</v>
      </c>
      <c r="J704" t="s">
        <v>39</v>
      </c>
      <c r="K704" t="s">
        <v>40</v>
      </c>
      <c r="L704" t="s">
        <v>1534</v>
      </c>
      <c r="M704" t="s">
        <v>30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31</v>
      </c>
      <c r="U704" t="s">
        <v>32</v>
      </c>
      <c r="V704">
        <f t="shared" si="41"/>
        <v>2692.8180000000002</v>
      </c>
      <c r="W704">
        <f t="shared" si="42"/>
        <v>872.73800000000028</v>
      </c>
      <c r="X704">
        <f t="shared" si="43"/>
        <v>32.409839803506969</v>
      </c>
      <c r="Y704">
        <f t="shared" si="44"/>
        <v>4</v>
      </c>
      <c r="Z704" t="str" cm="1">
        <f t="array" ref="Z704">_xlfn.IFS(Y704&lt;0, "Invalid Date", ISBLANK(G704), "Missing Region", TRUE, "Clean")</f>
        <v>Clean</v>
      </c>
    </row>
    <row r="705" spans="1:26">
      <c r="A705" t="s">
        <v>1535</v>
      </c>
      <c r="B705" s="4">
        <v>45584</v>
      </c>
      <c r="C705" s="6">
        <v>45585</v>
      </c>
      <c r="D705" t="s">
        <v>2626</v>
      </c>
      <c r="E705" t="s">
        <v>80</v>
      </c>
      <c r="F705" t="s">
        <v>81</v>
      </c>
      <c r="G705" t="s">
        <v>24</v>
      </c>
      <c r="H705" t="s">
        <v>25</v>
      </c>
      <c r="I705" t="s">
        <v>26</v>
      </c>
      <c r="J705" t="s">
        <v>39</v>
      </c>
      <c r="K705" t="s">
        <v>40</v>
      </c>
      <c r="L705" t="s">
        <v>1536</v>
      </c>
      <c r="M705" t="s">
        <v>47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31</v>
      </c>
      <c r="U705" t="s">
        <v>32</v>
      </c>
      <c r="V705">
        <f t="shared" si="41"/>
        <v>1035.027</v>
      </c>
      <c r="W705">
        <f t="shared" si="42"/>
        <v>180.67700000000002</v>
      </c>
      <c r="X705">
        <f t="shared" si="43"/>
        <v>17.456259595160319</v>
      </c>
      <c r="Y705">
        <f t="shared" si="44"/>
        <v>1</v>
      </c>
      <c r="Z705" t="str" cm="1">
        <f t="array" ref="Z705">_xlfn.IFS(Y705&lt;0, "Invalid Date", ISBLANK(G705), "Missing Region", TRUE, "Clean")</f>
        <v>Clean</v>
      </c>
    </row>
    <row r="706" spans="1:26">
      <c r="A706" t="s">
        <v>1537</v>
      </c>
      <c r="B706" s="4">
        <v>45364</v>
      </c>
      <c r="C706" s="6">
        <v>45371</v>
      </c>
      <c r="D706" t="s">
        <v>2627</v>
      </c>
      <c r="E706" t="s">
        <v>100</v>
      </c>
      <c r="F706" t="s">
        <v>85</v>
      </c>
      <c r="G706" t="s">
        <v>50</v>
      </c>
      <c r="H706" t="s">
        <v>200</v>
      </c>
      <c r="I706" t="s">
        <v>201</v>
      </c>
      <c r="J706" t="s">
        <v>39</v>
      </c>
      <c r="K706" t="s">
        <v>134</v>
      </c>
      <c r="L706" t="s">
        <v>1538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31</v>
      </c>
      <c r="U706" t="s">
        <v>32</v>
      </c>
      <c r="V706">
        <f t="shared" si="41"/>
        <v>2401.7855</v>
      </c>
      <c r="W706">
        <f t="shared" si="42"/>
        <v>581.44550000000004</v>
      </c>
      <c r="X706">
        <f t="shared" si="43"/>
        <v>24.208885431276027</v>
      </c>
      <c r="Y706">
        <f t="shared" si="44"/>
        <v>7</v>
      </c>
      <c r="Z706" t="str" cm="1">
        <f t="array" ref="Z706">_xlfn.IFS(Y706&lt;0, "Invalid Date", ISBLANK(G706), "Missing Region", TRUE, "Clean")</f>
        <v>Clean</v>
      </c>
    </row>
    <row r="707" spans="1:26">
      <c r="A707" t="s">
        <v>1539</v>
      </c>
      <c r="B707" s="4">
        <v>45513</v>
      </c>
      <c r="C707" s="6">
        <v>45549</v>
      </c>
      <c r="D707" t="s">
        <v>2628</v>
      </c>
      <c r="E707" t="s">
        <v>121</v>
      </c>
      <c r="F707" t="s">
        <v>23</v>
      </c>
      <c r="G707" t="s">
        <v>24</v>
      </c>
      <c r="H707" t="s">
        <v>25</v>
      </c>
      <c r="I707" t="s">
        <v>26</v>
      </c>
      <c r="J707" t="s">
        <v>27</v>
      </c>
      <c r="K707" t="s">
        <v>130</v>
      </c>
      <c r="L707" t="s">
        <v>1540</v>
      </c>
      <c r="M707" t="s">
        <v>55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31</v>
      </c>
      <c r="U707" t="s">
        <v>32</v>
      </c>
      <c r="V707">
        <f t="shared" ref="V707:V770" si="45">N707*O707*(1- P707)</f>
        <v>16015.8125</v>
      </c>
      <c r="W707">
        <f t="shared" ref="W707:W770" si="46">V707-R707</f>
        <v>4663.4325000000008</v>
      </c>
      <c r="X707">
        <f t="shared" ref="X707:X770" si="47">W707/V707*100</f>
        <v>29.117676671102394</v>
      </c>
      <c r="Y707">
        <f t="shared" si="44"/>
        <v>36</v>
      </c>
      <c r="Z707" t="str" cm="1">
        <f t="array" ref="Z707">_xlfn.IFS(Y707&lt;0, "Invalid Date", ISBLANK(G707), "Missing Region", TRUE, "Clean")</f>
        <v>Clean</v>
      </c>
    </row>
    <row r="708" spans="1:26">
      <c r="A708" t="s">
        <v>1541</v>
      </c>
      <c r="B708" s="4">
        <v>45467</v>
      </c>
      <c r="C708" s="6">
        <v>45471</v>
      </c>
      <c r="D708" t="s">
        <v>2629</v>
      </c>
      <c r="E708" t="s">
        <v>44</v>
      </c>
      <c r="F708" t="s">
        <v>35</v>
      </c>
      <c r="G708" t="s">
        <v>36</v>
      </c>
      <c r="H708" t="s">
        <v>37</v>
      </c>
      <c r="I708" t="s">
        <v>38</v>
      </c>
      <c r="J708" t="s">
        <v>27</v>
      </c>
      <c r="K708" t="s">
        <v>28</v>
      </c>
      <c r="L708" t="s">
        <v>1542</v>
      </c>
      <c r="M708" t="s">
        <v>42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31</v>
      </c>
      <c r="U708" t="s">
        <v>32</v>
      </c>
      <c r="V708">
        <f t="shared" si="45"/>
        <v>1901.4750000000001</v>
      </c>
      <c r="W708">
        <f t="shared" si="46"/>
        <v>547.19500000000016</v>
      </c>
      <c r="X708">
        <f t="shared" si="47"/>
        <v>28.777396494826391</v>
      </c>
      <c r="Y708">
        <f t="shared" si="44"/>
        <v>4</v>
      </c>
      <c r="Z708" t="str" cm="1">
        <f t="array" ref="Z708">_xlfn.IFS(Y708&lt;0, "Invalid Date", ISBLANK(G708), "Missing Region", TRUE, "Clean")</f>
        <v>Clean</v>
      </c>
    </row>
    <row r="709" spans="1:26">
      <c r="A709" t="s">
        <v>1543</v>
      </c>
      <c r="B709" s="4">
        <v>45832</v>
      </c>
      <c r="C709" s="6">
        <v>45834</v>
      </c>
      <c r="D709" t="s">
        <v>2630</v>
      </c>
      <c r="E709" t="s">
        <v>65</v>
      </c>
      <c r="F709" t="s">
        <v>23</v>
      </c>
      <c r="G709" t="s">
        <v>24</v>
      </c>
      <c r="H709" t="s">
        <v>25</v>
      </c>
      <c r="I709" t="s">
        <v>26</v>
      </c>
      <c r="J709" t="s">
        <v>68</v>
      </c>
      <c r="K709" t="s">
        <v>69</v>
      </c>
      <c r="L709" t="s">
        <v>1544</v>
      </c>
      <c r="M709" t="s">
        <v>42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31</v>
      </c>
      <c r="U709" t="s">
        <v>32</v>
      </c>
      <c r="V709">
        <f t="shared" si="45"/>
        <v>8375.9849999999988</v>
      </c>
      <c r="W709">
        <f t="shared" si="46"/>
        <v>-3302.3350000000009</v>
      </c>
      <c r="X709">
        <f t="shared" si="47"/>
        <v>-39.426228676388526</v>
      </c>
      <c r="Y709">
        <f t="shared" si="44"/>
        <v>2</v>
      </c>
      <c r="Z709" t="str" cm="1">
        <f t="array" ref="Z709">_xlfn.IFS(Y709&lt;0, "Invalid Date", ISBLANK(G709), "Missing Region", TRUE, "Clean")</f>
        <v>Clean</v>
      </c>
    </row>
    <row r="710" spans="1:26">
      <c r="A710" t="s">
        <v>1545</v>
      </c>
      <c r="B710" s="4">
        <v>45736</v>
      </c>
      <c r="C710" s="6">
        <v>45742</v>
      </c>
      <c r="D710" t="s">
        <v>2631</v>
      </c>
      <c r="E710" t="s">
        <v>114</v>
      </c>
      <c r="F710" t="s">
        <v>23</v>
      </c>
      <c r="G710" t="s">
        <v>36</v>
      </c>
      <c r="H710" t="s">
        <v>140</v>
      </c>
      <c r="I710" t="s">
        <v>141</v>
      </c>
      <c r="J710" t="s">
        <v>39</v>
      </c>
      <c r="K710" t="s">
        <v>134</v>
      </c>
      <c r="L710" t="s">
        <v>1546</v>
      </c>
      <c r="M710" t="s">
        <v>47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31</v>
      </c>
      <c r="U710" t="s">
        <v>32</v>
      </c>
      <c r="V710">
        <f t="shared" si="45"/>
        <v>16559.108</v>
      </c>
      <c r="W710">
        <f t="shared" si="46"/>
        <v>3325.3179999999993</v>
      </c>
      <c r="X710">
        <f t="shared" si="47"/>
        <v>20.081504390212316</v>
      </c>
      <c r="Y710">
        <f t="shared" si="44"/>
        <v>6</v>
      </c>
      <c r="Z710" t="str" cm="1">
        <f t="array" ref="Z710">_xlfn.IFS(Y710&lt;0, "Invalid Date", ISBLANK(G710), "Missing Region", TRUE, "Clean")</f>
        <v>Clean</v>
      </c>
    </row>
    <row r="711" spans="1:26">
      <c r="A711" t="s">
        <v>1547</v>
      </c>
      <c r="B711" s="4">
        <v>45676</v>
      </c>
      <c r="C711" s="6">
        <v>45680</v>
      </c>
      <c r="D711" t="s">
        <v>2632</v>
      </c>
      <c r="E711" t="s">
        <v>212</v>
      </c>
      <c r="F711" t="s">
        <v>85</v>
      </c>
      <c r="G711" t="s">
        <v>24</v>
      </c>
      <c r="H711" t="s">
        <v>106</v>
      </c>
      <c r="I711" t="s">
        <v>107</v>
      </c>
      <c r="J711" t="s">
        <v>68</v>
      </c>
      <c r="K711" t="s">
        <v>144</v>
      </c>
      <c r="L711" t="s">
        <v>1548</v>
      </c>
      <c r="M711" t="s">
        <v>42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31</v>
      </c>
      <c r="U711" t="s">
        <v>63</v>
      </c>
      <c r="V711">
        <f t="shared" si="45"/>
        <v>8110.0879999999988</v>
      </c>
      <c r="W711">
        <f t="shared" si="46"/>
        <v>1692.7679999999991</v>
      </c>
      <c r="X711">
        <f t="shared" si="47"/>
        <v>20.872375244263679</v>
      </c>
      <c r="Y711">
        <f t="shared" ref="Y711:Y774" si="48">C711-B711</f>
        <v>4</v>
      </c>
      <c r="Z711" t="str" cm="1">
        <f t="array" ref="Z711">_xlfn.IFS(Y711&lt;0, "Invalid Date", ISBLANK(G711), "Missing Region", TRUE, "Clean")</f>
        <v>Clean</v>
      </c>
    </row>
    <row r="712" spans="1:26">
      <c r="A712" t="s">
        <v>1549</v>
      </c>
      <c r="B712" s="4">
        <v>45485</v>
      </c>
      <c r="C712" s="6">
        <v>45492</v>
      </c>
      <c r="D712" t="s">
        <v>2633</v>
      </c>
      <c r="E712" t="s">
        <v>65</v>
      </c>
      <c r="F712" t="s">
        <v>81</v>
      </c>
      <c r="G712" t="s">
        <v>24</v>
      </c>
      <c r="H712" t="s">
        <v>106</v>
      </c>
      <c r="I712" t="s">
        <v>107</v>
      </c>
      <c r="J712" t="s">
        <v>27</v>
      </c>
      <c r="K712" t="s">
        <v>45</v>
      </c>
      <c r="L712" t="s">
        <v>1550</v>
      </c>
      <c r="M712" t="s">
        <v>30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31</v>
      </c>
      <c r="U712" t="s">
        <v>32</v>
      </c>
      <c r="V712">
        <f t="shared" si="45"/>
        <v>7406.01</v>
      </c>
      <c r="W712">
        <f t="shared" si="46"/>
        <v>1464.2700000000004</v>
      </c>
      <c r="X712">
        <f t="shared" si="47"/>
        <v>19.771374869869206</v>
      </c>
      <c r="Y712">
        <f t="shared" si="48"/>
        <v>7</v>
      </c>
      <c r="Z712" t="str" cm="1">
        <f t="array" ref="Z712">_xlfn.IFS(Y712&lt;0, "Invalid Date", ISBLANK(G712), "Missing Region", TRUE, "Clean")</f>
        <v>Clean</v>
      </c>
    </row>
    <row r="713" spans="1:26">
      <c r="A713" t="s">
        <v>1551</v>
      </c>
      <c r="B713" s="4">
        <v>45690</v>
      </c>
      <c r="C713" s="6">
        <v>45690</v>
      </c>
      <c r="D713" t="s">
        <v>2634</v>
      </c>
      <c r="E713" t="s">
        <v>212</v>
      </c>
      <c r="F713" t="s">
        <v>81</v>
      </c>
      <c r="G713" t="s">
        <v>36</v>
      </c>
      <c r="H713" t="s">
        <v>88</v>
      </c>
      <c r="I713" t="s">
        <v>89</v>
      </c>
      <c r="J713" t="s">
        <v>68</v>
      </c>
      <c r="K713" t="s">
        <v>219</v>
      </c>
      <c r="L713" t="s">
        <v>1552</v>
      </c>
      <c r="M713" t="s">
        <v>47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98</v>
      </c>
      <c r="U713" t="s">
        <v>92</v>
      </c>
      <c r="V713">
        <f t="shared" si="45"/>
        <v>4110.4124999999995</v>
      </c>
      <c r="W713">
        <f t="shared" si="46"/>
        <v>1716.2724999999996</v>
      </c>
      <c r="X713">
        <f t="shared" si="47"/>
        <v>41.754264322619683</v>
      </c>
      <c r="Y713">
        <f t="shared" si="48"/>
        <v>0</v>
      </c>
      <c r="Z713" t="str" cm="1">
        <f t="array" ref="Z713">_xlfn.IFS(Y713&lt;0, "Invalid Date", ISBLANK(G713), "Missing Region", TRUE, "Clean")</f>
        <v>Clean</v>
      </c>
    </row>
    <row r="714" spans="1:26">
      <c r="A714" t="s">
        <v>1553</v>
      </c>
      <c r="B714" s="4">
        <v>45567</v>
      </c>
      <c r="C714" s="6">
        <v>45340</v>
      </c>
      <c r="D714" t="s">
        <v>2112</v>
      </c>
      <c r="E714" t="s">
        <v>44</v>
      </c>
      <c r="F714" t="s">
        <v>85</v>
      </c>
      <c r="G714" t="s">
        <v>58</v>
      </c>
      <c r="H714" t="s">
        <v>66</v>
      </c>
      <c r="I714" t="s">
        <v>67</v>
      </c>
      <c r="J714" t="s">
        <v>39</v>
      </c>
      <c r="K714" t="s">
        <v>61</v>
      </c>
      <c r="L714" t="s">
        <v>1554</v>
      </c>
      <c r="M714" t="s">
        <v>47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31</v>
      </c>
      <c r="U714" t="s">
        <v>32</v>
      </c>
      <c r="V714">
        <f t="shared" si="45"/>
        <v>9680.0199999999986</v>
      </c>
      <c r="W714">
        <f t="shared" si="46"/>
        <v>2803.3599999999988</v>
      </c>
      <c r="X714">
        <f t="shared" si="47"/>
        <v>28.960270743242255</v>
      </c>
      <c r="Y714">
        <f t="shared" si="48"/>
        <v>-227</v>
      </c>
      <c r="Z714" t="str" cm="1">
        <f t="array" ref="Z714">_xlfn.IFS(Y714&lt;0, "Invalid Date", ISBLANK(G714), "Missing Region", TRUE, "Clean")</f>
        <v>Invalid Date</v>
      </c>
    </row>
    <row r="715" spans="1:26">
      <c r="A715" t="s">
        <v>1555</v>
      </c>
      <c r="B715" s="4">
        <v>45814</v>
      </c>
      <c r="C715" s="6">
        <v>45818</v>
      </c>
      <c r="D715" t="s">
        <v>2635</v>
      </c>
      <c r="E715" t="s">
        <v>34</v>
      </c>
      <c r="F715" t="s">
        <v>23</v>
      </c>
      <c r="G715" t="s">
        <v>58</v>
      </c>
      <c r="H715" t="s">
        <v>25</v>
      </c>
      <c r="I715" t="s">
        <v>96</v>
      </c>
      <c r="J715" t="s">
        <v>68</v>
      </c>
      <c r="K715" t="s">
        <v>219</v>
      </c>
      <c r="L715" t="s">
        <v>1556</v>
      </c>
      <c r="M715" t="s">
        <v>30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31</v>
      </c>
      <c r="U715" t="s">
        <v>32</v>
      </c>
      <c r="V715">
        <f t="shared" si="45"/>
        <v>217.47750000000002</v>
      </c>
      <c r="W715">
        <f t="shared" si="46"/>
        <v>85.347500000000025</v>
      </c>
      <c r="X715">
        <f t="shared" si="47"/>
        <v>39.244289639158083</v>
      </c>
      <c r="Y715">
        <f t="shared" si="48"/>
        <v>4</v>
      </c>
      <c r="Z715" t="str" cm="1">
        <f t="array" ref="Z715">_xlfn.IFS(Y715&lt;0, "Invalid Date", ISBLANK(G715), "Missing Region", TRUE, "Clean")</f>
        <v>Clean</v>
      </c>
    </row>
    <row r="716" spans="1:26">
      <c r="A716" t="s">
        <v>1557</v>
      </c>
      <c r="B716" s="4">
        <v>45738</v>
      </c>
      <c r="C716" s="6">
        <v>45739</v>
      </c>
      <c r="D716" t="s">
        <v>2636</v>
      </c>
      <c r="E716" t="s">
        <v>22</v>
      </c>
      <c r="F716" t="s">
        <v>85</v>
      </c>
      <c r="G716" t="s">
        <v>24</v>
      </c>
      <c r="H716" t="s">
        <v>270</v>
      </c>
      <c r="I716" t="s">
        <v>271</v>
      </c>
      <c r="J716" t="s">
        <v>68</v>
      </c>
      <c r="K716" t="s">
        <v>73</v>
      </c>
      <c r="L716" t="s">
        <v>1558</v>
      </c>
      <c r="M716" t="s">
        <v>55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31</v>
      </c>
      <c r="U716" t="s">
        <v>32</v>
      </c>
      <c r="V716">
        <f t="shared" si="45"/>
        <v>18675.18</v>
      </c>
      <c r="W716">
        <f t="shared" si="46"/>
        <v>4700.4799999999996</v>
      </c>
      <c r="X716">
        <f t="shared" si="47"/>
        <v>25.169663692665878</v>
      </c>
      <c r="Y716">
        <f t="shared" si="48"/>
        <v>1</v>
      </c>
      <c r="Z716" t="str" cm="1">
        <f t="array" ref="Z716">_xlfn.IFS(Y716&lt;0, "Invalid Date", ISBLANK(G716), "Missing Region", TRUE, "Clean")</f>
        <v>Clean</v>
      </c>
    </row>
    <row r="717" spans="1:26">
      <c r="A717" t="s">
        <v>1559</v>
      </c>
      <c r="B717" s="4">
        <v>45891</v>
      </c>
      <c r="C717" s="6">
        <v>45896</v>
      </c>
      <c r="D717" t="s">
        <v>2637</v>
      </c>
      <c r="E717" t="s">
        <v>100</v>
      </c>
      <c r="F717" t="s">
        <v>23</v>
      </c>
      <c r="G717" t="s">
        <v>24</v>
      </c>
      <c r="H717" t="s">
        <v>192</v>
      </c>
      <c r="I717" t="s">
        <v>193</v>
      </c>
      <c r="J717" t="s">
        <v>39</v>
      </c>
      <c r="K717" t="s">
        <v>61</v>
      </c>
      <c r="L717" t="s">
        <v>1560</v>
      </c>
      <c r="M717" t="s">
        <v>30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91</v>
      </c>
      <c r="U717" t="s">
        <v>63</v>
      </c>
      <c r="V717">
        <f t="shared" si="45"/>
        <v>19901.63</v>
      </c>
      <c r="W717">
        <f t="shared" si="46"/>
        <v>4409.6000000000004</v>
      </c>
      <c r="X717">
        <f t="shared" si="47"/>
        <v>22.156979101711769</v>
      </c>
      <c r="Y717">
        <f t="shared" si="48"/>
        <v>5</v>
      </c>
      <c r="Z717" t="str" cm="1">
        <f t="array" ref="Z717">_xlfn.IFS(Y717&lt;0, "Invalid Date", ISBLANK(G717), "Missing Region", TRUE, "Clean")</f>
        <v>Clean</v>
      </c>
    </row>
    <row r="718" spans="1:26">
      <c r="A718" t="s">
        <v>1561</v>
      </c>
      <c r="B718" s="4">
        <v>45895</v>
      </c>
      <c r="C718" s="6">
        <v>45900</v>
      </c>
      <c r="D718" t="s">
        <v>2638</v>
      </c>
      <c r="E718" t="s">
        <v>137</v>
      </c>
      <c r="F718" t="s">
        <v>35</v>
      </c>
      <c r="G718" t="s">
        <v>24</v>
      </c>
      <c r="H718" t="s">
        <v>192</v>
      </c>
      <c r="I718" t="s">
        <v>193</v>
      </c>
      <c r="J718" t="s">
        <v>68</v>
      </c>
      <c r="K718" t="s">
        <v>144</v>
      </c>
      <c r="L718" t="s">
        <v>1562</v>
      </c>
      <c r="M718" t="s">
        <v>47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31</v>
      </c>
      <c r="U718" t="s">
        <v>32</v>
      </c>
      <c r="V718">
        <f t="shared" si="45"/>
        <v>2879.817</v>
      </c>
      <c r="W718">
        <f t="shared" si="46"/>
        <v>1054.9369999999999</v>
      </c>
      <c r="X718">
        <f t="shared" si="47"/>
        <v>36.632084608153917</v>
      </c>
      <c r="Y718">
        <f t="shared" si="48"/>
        <v>5</v>
      </c>
      <c r="Z718" t="str" cm="1">
        <f t="array" ref="Z718">_xlfn.IFS(Y718&lt;0, "Invalid Date", ISBLANK(G718), "Missing Region", TRUE, "Clean")</f>
        <v>Clean</v>
      </c>
    </row>
    <row r="719" spans="1:26">
      <c r="A719" t="s">
        <v>1563</v>
      </c>
      <c r="B719" s="4">
        <v>46001</v>
      </c>
      <c r="C719" s="6">
        <v>45945</v>
      </c>
      <c r="D719" t="s">
        <v>2639</v>
      </c>
      <c r="E719" t="s">
        <v>212</v>
      </c>
      <c r="F719" t="s">
        <v>35</v>
      </c>
      <c r="G719" t="s">
        <v>24</v>
      </c>
      <c r="H719" t="s">
        <v>192</v>
      </c>
      <c r="I719" t="s">
        <v>193</v>
      </c>
      <c r="J719" t="s">
        <v>68</v>
      </c>
      <c r="K719" t="s">
        <v>219</v>
      </c>
      <c r="L719" t="s">
        <v>1564</v>
      </c>
      <c r="M719" t="s">
        <v>55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98</v>
      </c>
      <c r="U719" t="s">
        <v>63</v>
      </c>
      <c r="V719">
        <f t="shared" si="45"/>
        <v>18712.223999999998</v>
      </c>
      <c r="W719">
        <f t="shared" si="46"/>
        <v>6860.003999999999</v>
      </c>
      <c r="X719">
        <f t="shared" si="47"/>
        <v>36.660548740758983</v>
      </c>
      <c r="Y719">
        <f t="shared" si="48"/>
        <v>-56</v>
      </c>
      <c r="Z719" t="str" cm="1">
        <f t="array" ref="Z719">_xlfn.IFS(Y719&lt;0, "Invalid Date", ISBLANK(G719), "Missing Region", TRUE, "Clean")</f>
        <v>Invalid Date</v>
      </c>
    </row>
    <row r="720" spans="1:26">
      <c r="A720" t="s">
        <v>1565</v>
      </c>
      <c r="B720" s="4">
        <v>45452</v>
      </c>
      <c r="C720" s="6">
        <v>45544</v>
      </c>
      <c r="D720" t="s">
        <v>1971</v>
      </c>
      <c r="E720" t="s">
        <v>34</v>
      </c>
      <c r="F720" t="s">
        <v>23</v>
      </c>
      <c r="G720" t="s">
        <v>58</v>
      </c>
      <c r="H720" t="s">
        <v>59</v>
      </c>
      <c r="I720" t="s">
        <v>60</v>
      </c>
      <c r="J720" t="s">
        <v>27</v>
      </c>
      <c r="K720" t="s">
        <v>45</v>
      </c>
      <c r="L720" t="s">
        <v>1566</v>
      </c>
      <c r="M720" t="s">
        <v>42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31</v>
      </c>
      <c r="U720" t="s">
        <v>32</v>
      </c>
      <c r="V720">
        <f t="shared" si="45"/>
        <v>4733.4479999999994</v>
      </c>
      <c r="W720">
        <f t="shared" si="46"/>
        <v>1061.1279999999992</v>
      </c>
      <c r="X720">
        <f t="shared" si="47"/>
        <v>22.417654107534283</v>
      </c>
      <c r="Y720">
        <f t="shared" si="48"/>
        <v>92</v>
      </c>
      <c r="Z720" t="str" cm="1">
        <f t="array" ref="Z720">_xlfn.IFS(Y720&lt;0, "Invalid Date", ISBLANK(G720), "Missing Region", TRUE, "Clean")</f>
        <v>Clean</v>
      </c>
    </row>
    <row r="721" spans="1:26">
      <c r="A721" t="s">
        <v>1567</v>
      </c>
      <c r="B721" s="4">
        <v>45878</v>
      </c>
      <c r="C721" s="6">
        <v>45909</v>
      </c>
      <c r="D721" t="s">
        <v>2640</v>
      </c>
      <c r="E721" t="s">
        <v>212</v>
      </c>
      <c r="F721" t="s">
        <v>81</v>
      </c>
      <c r="G721" t="s">
        <v>58</v>
      </c>
      <c r="H721" t="s">
        <v>151</v>
      </c>
      <c r="I721" t="s">
        <v>152</v>
      </c>
      <c r="J721" t="s">
        <v>27</v>
      </c>
      <c r="K721" t="s">
        <v>45</v>
      </c>
      <c r="L721" t="s">
        <v>1568</v>
      </c>
      <c r="M721" t="s">
        <v>42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31</v>
      </c>
      <c r="U721" t="s">
        <v>32</v>
      </c>
      <c r="V721">
        <f t="shared" si="45"/>
        <v>3795.8559999999998</v>
      </c>
      <c r="W721">
        <f t="shared" si="46"/>
        <v>1530.9359999999997</v>
      </c>
      <c r="X721">
        <f t="shared" si="47"/>
        <v>40.331772332775529</v>
      </c>
      <c r="Y721">
        <f t="shared" si="48"/>
        <v>31</v>
      </c>
      <c r="Z721" t="str" cm="1">
        <f t="array" ref="Z721">_xlfn.IFS(Y721&lt;0, "Invalid Date", ISBLANK(G721), "Missing Region", TRUE, "Clean")</f>
        <v>Clean</v>
      </c>
    </row>
    <row r="722" spans="1:26">
      <c r="A722" t="s">
        <v>1569</v>
      </c>
      <c r="B722" s="4">
        <v>45489</v>
      </c>
      <c r="C722" s="6">
        <v>45489</v>
      </c>
      <c r="D722" t="s">
        <v>2641</v>
      </c>
      <c r="E722" t="s">
        <v>80</v>
      </c>
      <c r="F722" t="s">
        <v>85</v>
      </c>
      <c r="G722" t="s">
        <v>58</v>
      </c>
      <c r="H722" t="s">
        <v>66</v>
      </c>
      <c r="I722" t="s">
        <v>67</v>
      </c>
      <c r="J722" t="s">
        <v>68</v>
      </c>
      <c r="K722" t="s">
        <v>73</v>
      </c>
      <c r="L722" t="s">
        <v>1570</v>
      </c>
      <c r="M722" t="s">
        <v>42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31</v>
      </c>
      <c r="U722" t="s">
        <v>32</v>
      </c>
      <c r="V722">
        <f t="shared" si="45"/>
        <v>15231.727999999999</v>
      </c>
      <c r="W722">
        <f t="shared" si="46"/>
        <v>2780.268</v>
      </c>
      <c r="X722">
        <f t="shared" si="47"/>
        <v>18.253135822803561</v>
      </c>
      <c r="Y722">
        <f t="shared" si="48"/>
        <v>0</v>
      </c>
      <c r="Z722" t="str" cm="1">
        <f t="array" ref="Z722">_xlfn.IFS(Y722&lt;0, "Invalid Date", ISBLANK(G722), "Missing Region", TRUE, "Clean")</f>
        <v>Clean</v>
      </c>
    </row>
    <row r="723" spans="1:26">
      <c r="A723" t="s">
        <v>1571</v>
      </c>
      <c r="B723" s="4">
        <v>45827</v>
      </c>
      <c r="C723" s="6">
        <v>45831</v>
      </c>
      <c r="D723" t="s">
        <v>2642</v>
      </c>
      <c r="E723" t="s">
        <v>114</v>
      </c>
      <c r="F723" t="s">
        <v>23</v>
      </c>
      <c r="G723" t="s">
        <v>50</v>
      </c>
      <c r="H723" t="s">
        <v>147</v>
      </c>
      <c r="I723" t="s">
        <v>148</v>
      </c>
      <c r="J723" t="s">
        <v>68</v>
      </c>
      <c r="K723" t="s">
        <v>73</v>
      </c>
      <c r="L723" t="s">
        <v>1572</v>
      </c>
      <c r="M723" t="s">
        <v>47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31</v>
      </c>
      <c r="U723" t="s">
        <v>32</v>
      </c>
      <c r="V723">
        <f t="shared" si="45"/>
        <v>13649.75</v>
      </c>
      <c r="W723">
        <f t="shared" si="46"/>
        <v>3361.7199999999993</v>
      </c>
      <c r="X723">
        <f t="shared" si="47"/>
        <v>24.628436418249414</v>
      </c>
      <c r="Y723">
        <f t="shared" si="48"/>
        <v>4</v>
      </c>
      <c r="Z723" t="str" cm="1">
        <f t="array" ref="Z723">_xlfn.IFS(Y723&lt;0, "Invalid Date", ISBLANK(G723), "Missing Region", TRUE, "Clean")</f>
        <v>Clean</v>
      </c>
    </row>
    <row r="724" spans="1:26">
      <c r="A724" t="s">
        <v>1573</v>
      </c>
      <c r="B724" s="4">
        <v>45483</v>
      </c>
      <c r="C724" s="6">
        <v>45575</v>
      </c>
      <c r="D724" t="s">
        <v>2643</v>
      </c>
      <c r="E724" t="s">
        <v>65</v>
      </c>
      <c r="F724" t="s">
        <v>23</v>
      </c>
      <c r="G724" t="s">
        <v>36</v>
      </c>
      <c r="H724" t="s">
        <v>88</v>
      </c>
      <c r="I724" t="s">
        <v>89</v>
      </c>
      <c r="J724" t="s">
        <v>39</v>
      </c>
      <c r="K724" t="s">
        <v>61</v>
      </c>
      <c r="L724" t="s">
        <v>1574</v>
      </c>
      <c r="M724" t="s">
        <v>30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91</v>
      </c>
      <c r="U724" t="s">
        <v>63</v>
      </c>
      <c r="V724">
        <f t="shared" si="45"/>
        <v>4333.59</v>
      </c>
      <c r="W724">
        <f t="shared" si="46"/>
        <v>1800</v>
      </c>
      <c r="X724">
        <f t="shared" si="47"/>
        <v>41.536001329152036</v>
      </c>
      <c r="Y724">
        <f t="shared" si="48"/>
        <v>92</v>
      </c>
      <c r="Z724" t="str" cm="1">
        <f t="array" ref="Z724">_xlfn.IFS(Y724&lt;0, "Invalid Date", ISBLANK(G724), "Missing Region", TRUE, "Clean")</f>
        <v>Clean</v>
      </c>
    </row>
    <row r="725" spans="1:26">
      <c r="A725" t="s">
        <v>1575</v>
      </c>
      <c r="B725" s="4">
        <v>45936</v>
      </c>
      <c r="C725" s="6">
        <v>45943</v>
      </c>
      <c r="D725" t="s">
        <v>2644</v>
      </c>
      <c r="E725" t="s">
        <v>212</v>
      </c>
      <c r="F725" t="s">
        <v>85</v>
      </c>
      <c r="G725" t="s">
        <v>36</v>
      </c>
      <c r="H725" t="s">
        <v>186</v>
      </c>
      <c r="I725" t="s">
        <v>187</v>
      </c>
      <c r="J725" t="s">
        <v>68</v>
      </c>
      <c r="K725" t="s">
        <v>69</v>
      </c>
      <c r="L725" t="s">
        <v>1576</v>
      </c>
      <c r="M725" t="s">
        <v>55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132</v>
      </c>
      <c r="U725" t="s">
        <v>92</v>
      </c>
      <c r="V725">
        <f t="shared" si="45"/>
        <v>13634.000999999998</v>
      </c>
      <c r="W725">
        <f t="shared" si="46"/>
        <v>4044.1909999999989</v>
      </c>
      <c r="X725">
        <f t="shared" si="47"/>
        <v>29.662539998346777</v>
      </c>
      <c r="Y725">
        <f t="shared" si="48"/>
        <v>7</v>
      </c>
      <c r="Z725" t="str" cm="1">
        <f t="array" ref="Z725">_xlfn.IFS(Y725&lt;0, "Invalid Date", ISBLANK(G725), "Missing Region", TRUE, "Clean")</f>
        <v>Clean</v>
      </c>
    </row>
    <row r="726" spans="1:26">
      <c r="A726" t="s">
        <v>1577</v>
      </c>
      <c r="B726" s="4">
        <v>45332</v>
      </c>
      <c r="C726" s="6">
        <v>45338</v>
      </c>
      <c r="D726" t="s">
        <v>2645</v>
      </c>
      <c r="E726" t="s">
        <v>22</v>
      </c>
      <c r="F726" t="s">
        <v>23</v>
      </c>
      <c r="G726" t="s">
        <v>58</v>
      </c>
      <c r="H726" t="s">
        <v>159</v>
      </c>
      <c r="I726" t="s">
        <v>160</v>
      </c>
      <c r="J726" t="s">
        <v>39</v>
      </c>
      <c r="K726" t="s">
        <v>53</v>
      </c>
      <c r="L726" t="s">
        <v>1578</v>
      </c>
      <c r="M726" t="s">
        <v>30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31</v>
      </c>
      <c r="U726" t="s">
        <v>32</v>
      </c>
      <c r="V726">
        <f t="shared" si="45"/>
        <v>760.29</v>
      </c>
      <c r="W726">
        <f t="shared" si="46"/>
        <v>262.52</v>
      </c>
      <c r="X726">
        <f t="shared" si="47"/>
        <v>34.528929750489944</v>
      </c>
      <c r="Y726">
        <f t="shared" si="48"/>
        <v>6</v>
      </c>
      <c r="Z726" t="str" cm="1">
        <f t="array" ref="Z726">_xlfn.IFS(Y726&lt;0, "Invalid Date", ISBLANK(G726), "Missing Region", TRUE, "Clean")</f>
        <v>Clean</v>
      </c>
    </row>
    <row r="727" spans="1:26">
      <c r="A727" t="s">
        <v>1579</v>
      </c>
      <c r="B727" s="4">
        <v>45935</v>
      </c>
      <c r="C727" s="6">
        <v>46001</v>
      </c>
      <c r="D727" t="s">
        <v>2646</v>
      </c>
      <c r="E727" t="s">
        <v>100</v>
      </c>
      <c r="F727" t="s">
        <v>81</v>
      </c>
      <c r="G727" t="s">
        <v>50</v>
      </c>
      <c r="H727" t="s">
        <v>147</v>
      </c>
      <c r="I727" t="s">
        <v>148</v>
      </c>
      <c r="J727" t="s">
        <v>39</v>
      </c>
      <c r="K727" t="s">
        <v>40</v>
      </c>
      <c r="L727" t="s">
        <v>1580</v>
      </c>
      <c r="M727" t="s">
        <v>30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31</v>
      </c>
      <c r="U727" t="s">
        <v>32</v>
      </c>
      <c r="V727">
        <f t="shared" si="45"/>
        <v>14943.11</v>
      </c>
      <c r="W727">
        <f t="shared" si="46"/>
        <v>6421.6100000000006</v>
      </c>
      <c r="X727">
        <f t="shared" si="47"/>
        <v>42.973718322357264</v>
      </c>
      <c r="Y727">
        <f t="shared" si="48"/>
        <v>66</v>
      </c>
      <c r="Z727" t="str" cm="1">
        <f t="array" ref="Z727">_xlfn.IFS(Y727&lt;0, "Invalid Date", ISBLANK(G727), "Missing Region", TRUE, "Clean")</f>
        <v>Clean</v>
      </c>
    </row>
    <row r="728" spans="1:26">
      <c r="A728" t="s">
        <v>1581</v>
      </c>
      <c r="B728" s="4">
        <v>45308</v>
      </c>
      <c r="C728" s="6">
        <v>45314</v>
      </c>
      <c r="D728" t="s">
        <v>2647</v>
      </c>
      <c r="E728" t="s">
        <v>212</v>
      </c>
      <c r="F728" t="s">
        <v>85</v>
      </c>
      <c r="G728" t="s">
        <v>58</v>
      </c>
      <c r="H728" t="s">
        <v>151</v>
      </c>
      <c r="I728" t="s">
        <v>152</v>
      </c>
      <c r="J728" t="s">
        <v>68</v>
      </c>
      <c r="K728" t="s">
        <v>144</v>
      </c>
      <c r="L728" t="s">
        <v>1582</v>
      </c>
      <c r="M728" t="s">
        <v>55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98</v>
      </c>
      <c r="U728" t="s">
        <v>92</v>
      </c>
      <c r="V728">
        <f t="shared" si="45"/>
        <v>8072</v>
      </c>
      <c r="W728">
        <f t="shared" si="46"/>
        <v>2692.7799999999997</v>
      </c>
      <c r="X728">
        <f t="shared" si="47"/>
        <v>33.359514370664023</v>
      </c>
      <c r="Y728">
        <f t="shared" si="48"/>
        <v>6</v>
      </c>
      <c r="Z728" t="str" cm="1">
        <f t="array" ref="Z728">_xlfn.IFS(Y728&lt;0, "Invalid Date", ISBLANK(G728), "Missing Region", TRUE, "Clean")</f>
        <v>Clean</v>
      </c>
    </row>
    <row r="729" spans="1:26">
      <c r="A729" t="s">
        <v>1583</v>
      </c>
      <c r="B729" s="4">
        <v>45578</v>
      </c>
      <c r="C729" s="6">
        <v>45578</v>
      </c>
      <c r="D729" t="s">
        <v>2648</v>
      </c>
      <c r="E729" t="s">
        <v>111</v>
      </c>
      <c r="F729" t="s">
        <v>35</v>
      </c>
      <c r="G729" t="s">
        <v>36</v>
      </c>
      <c r="H729" t="s">
        <v>140</v>
      </c>
      <c r="I729" t="s">
        <v>141</v>
      </c>
      <c r="J729" t="s">
        <v>68</v>
      </c>
      <c r="K729" t="s">
        <v>69</v>
      </c>
      <c r="L729" t="s">
        <v>1584</v>
      </c>
      <c r="M729" t="s">
        <v>30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31</v>
      </c>
      <c r="U729" t="s">
        <v>32</v>
      </c>
      <c r="V729">
        <f t="shared" si="45"/>
        <v>28353.015999999996</v>
      </c>
      <c r="W729">
        <f t="shared" si="46"/>
        <v>9095.1659999999974</v>
      </c>
      <c r="X729">
        <f t="shared" si="47"/>
        <v>32.078301652282768</v>
      </c>
      <c r="Y729">
        <f t="shared" si="48"/>
        <v>0</v>
      </c>
      <c r="Z729" t="str" cm="1">
        <f t="array" ref="Z729">_xlfn.IFS(Y729&lt;0, "Invalid Date", ISBLANK(G729), "Missing Region", TRUE, "Clean")</f>
        <v>Clean</v>
      </c>
    </row>
    <row r="730" spans="1:26">
      <c r="A730" t="s">
        <v>1585</v>
      </c>
      <c r="B730" s="4">
        <v>45383</v>
      </c>
      <c r="C730" s="6">
        <v>45474</v>
      </c>
      <c r="D730" t="s">
        <v>2649</v>
      </c>
      <c r="E730" t="s">
        <v>114</v>
      </c>
      <c r="F730" t="s">
        <v>35</v>
      </c>
      <c r="G730" t="s">
        <v>50</v>
      </c>
      <c r="H730" t="s">
        <v>147</v>
      </c>
      <c r="I730" t="s">
        <v>148</v>
      </c>
      <c r="J730" t="s">
        <v>68</v>
      </c>
      <c r="K730" t="s">
        <v>219</v>
      </c>
      <c r="L730" t="s">
        <v>1586</v>
      </c>
      <c r="M730" t="s">
        <v>47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31</v>
      </c>
      <c r="U730" t="s">
        <v>32</v>
      </c>
      <c r="V730">
        <f t="shared" si="45"/>
        <v>2008.567</v>
      </c>
      <c r="W730">
        <f t="shared" si="46"/>
        <v>813.73700000000008</v>
      </c>
      <c r="X730">
        <f t="shared" si="47"/>
        <v>40.513311231340552</v>
      </c>
      <c r="Y730">
        <f t="shared" si="48"/>
        <v>91</v>
      </c>
      <c r="Z730" t="str" cm="1">
        <f t="array" ref="Z730">_xlfn.IFS(Y730&lt;0, "Invalid Date", ISBLANK(G730), "Missing Region", TRUE, "Clean")</f>
        <v>Clean</v>
      </c>
    </row>
    <row r="731" spans="1:26">
      <c r="A731" t="s">
        <v>1587</v>
      </c>
      <c r="B731" s="4">
        <v>45794</v>
      </c>
      <c r="C731" s="6">
        <v>45802</v>
      </c>
      <c r="D731" t="s">
        <v>2650</v>
      </c>
      <c r="E731" t="s">
        <v>57</v>
      </c>
      <c r="F731" t="s">
        <v>81</v>
      </c>
      <c r="G731" t="s">
        <v>50</v>
      </c>
      <c r="H731" t="s">
        <v>200</v>
      </c>
      <c r="I731" t="s">
        <v>201</v>
      </c>
      <c r="J731" t="s">
        <v>68</v>
      </c>
      <c r="K731" t="s">
        <v>219</v>
      </c>
      <c r="L731" t="s">
        <v>1588</v>
      </c>
      <c r="M731" t="s">
        <v>42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31</v>
      </c>
      <c r="U731" t="s">
        <v>32</v>
      </c>
      <c r="V731">
        <f t="shared" si="45"/>
        <v>9234.2129999999997</v>
      </c>
      <c r="W731">
        <f t="shared" si="46"/>
        <v>3717.6929999999993</v>
      </c>
      <c r="X731">
        <f t="shared" si="47"/>
        <v>40.259987505161504</v>
      </c>
      <c r="Y731">
        <f t="shared" si="48"/>
        <v>8</v>
      </c>
      <c r="Z731" t="str" cm="1">
        <f t="array" ref="Z731">_xlfn.IFS(Y731&lt;0, "Invalid Date", ISBLANK(G731), "Missing Region", TRUE, "Clean")</f>
        <v>Clean</v>
      </c>
    </row>
    <row r="732" spans="1:26">
      <c r="A732" t="s">
        <v>1589</v>
      </c>
      <c r="B732" s="4">
        <v>45827</v>
      </c>
      <c r="C732" s="6">
        <v>45832</v>
      </c>
      <c r="D732" t="s">
        <v>2651</v>
      </c>
      <c r="E732" t="s">
        <v>49</v>
      </c>
      <c r="F732" t="s">
        <v>23</v>
      </c>
      <c r="G732" t="s">
        <v>36</v>
      </c>
      <c r="H732" t="s">
        <v>88</v>
      </c>
      <c r="I732" t="s">
        <v>89</v>
      </c>
      <c r="J732" t="s">
        <v>27</v>
      </c>
      <c r="K732" t="s">
        <v>45</v>
      </c>
      <c r="L732" t="s">
        <v>1590</v>
      </c>
      <c r="M732" t="s">
        <v>30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91</v>
      </c>
      <c r="U732" t="s">
        <v>92</v>
      </c>
      <c r="V732">
        <f t="shared" si="45"/>
        <v>2658.8339999999998</v>
      </c>
      <c r="W732">
        <f t="shared" si="46"/>
        <v>431.86400000000003</v>
      </c>
      <c r="X732">
        <f t="shared" si="47"/>
        <v>16.242608602116569</v>
      </c>
      <c r="Y732">
        <f t="shared" si="48"/>
        <v>5</v>
      </c>
      <c r="Z732" t="str" cm="1">
        <f t="array" ref="Z732">_xlfn.IFS(Y732&lt;0, "Invalid Date", ISBLANK(G732), "Missing Region", TRUE, "Clean")</f>
        <v>Clean</v>
      </c>
    </row>
    <row r="733" spans="1:26">
      <c r="A733" t="s">
        <v>1591</v>
      </c>
      <c r="B733" s="4">
        <v>45368</v>
      </c>
      <c r="C733" s="6">
        <v>45370</v>
      </c>
      <c r="D733" t="s">
        <v>2652</v>
      </c>
      <c r="E733" t="s">
        <v>57</v>
      </c>
      <c r="F733" t="s">
        <v>81</v>
      </c>
      <c r="G733" t="s">
        <v>36</v>
      </c>
      <c r="H733" t="s">
        <v>37</v>
      </c>
      <c r="I733" t="s">
        <v>38</v>
      </c>
      <c r="J733" t="s">
        <v>27</v>
      </c>
      <c r="K733" t="s">
        <v>130</v>
      </c>
      <c r="L733" t="s">
        <v>1592</v>
      </c>
      <c r="M733" t="s">
        <v>47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31</v>
      </c>
      <c r="U733" t="s">
        <v>32</v>
      </c>
      <c r="V733">
        <f t="shared" si="45"/>
        <v>15756.048000000001</v>
      </c>
      <c r="W733">
        <f t="shared" si="46"/>
        <v>5510.6080000000002</v>
      </c>
      <c r="X733">
        <f t="shared" si="47"/>
        <v>34.974557071671782</v>
      </c>
      <c r="Y733">
        <f t="shared" si="48"/>
        <v>2</v>
      </c>
      <c r="Z733" t="str" cm="1">
        <f t="array" ref="Z733">_xlfn.IFS(Y733&lt;0, "Invalid Date", ISBLANK(G733), "Missing Region", TRUE, "Clean")</f>
        <v>Clean</v>
      </c>
    </row>
    <row r="734" spans="1:26">
      <c r="A734" t="s">
        <v>1593</v>
      </c>
      <c r="B734" s="4">
        <v>45624</v>
      </c>
      <c r="C734" s="6">
        <v>45455</v>
      </c>
      <c r="D734" t="s">
        <v>2653</v>
      </c>
      <c r="E734" t="s">
        <v>49</v>
      </c>
      <c r="F734" t="s">
        <v>35</v>
      </c>
      <c r="G734" t="s">
        <v>24</v>
      </c>
      <c r="H734" t="s">
        <v>106</v>
      </c>
      <c r="I734" t="s">
        <v>107</v>
      </c>
      <c r="J734" t="s">
        <v>68</v>
      </c>
      <c r="K734" t="s">
        <v>144</v>
      </c>
      <c r="L734" t="s">
        <v>1594</v>
      </c>
      <c r="M734" t="s">
        <v>55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31</v>
      </c>
      <c r="U734" t="s">
        <v>32</v>
      </c>
      <c r="V734">
        <f t="shared" si="45"/>
        <v>14787.78</v>
      </c>
      <c r="W734">
        <f t="shared" si="46"/>
        <v>6191.130000000001</v>
      </c>
      <c r="X734">
        <f t="shared" si="47"/>
        <v>41.866527632950998</v>
      </c>
      <c r="Y734">
        <f t="shared" si="48"/>
        <v>-169</v>
      </c>
      <c r="Z734" t="str" cm="1">
        <f t="array" ref="Z734">_xlfn.IFS(Y734&lt;0, "Invalid Date", ISBLANK(G734), "Missing Region", TRUE, "Clean")</f>
        <v>Invalid Date</v>
      </c>
    </row>
    <row r="735" spans="1:26">
      <c r="A735" t="s">
        <v>1595</v>
      </c>
      <c r="B735" s="4">
        <v>45464</v>
      </c>
      <c r="C735" s="6">
        <v>45471</v>
      </c>
      <c r="D735" t="s">
        <v>2654</v>
      </c>
      <c r="E735" t="s">
        <v>111</v>
      </c>
      <c r="F735" t="s">
        <v>85</v>
      </c>
      <c r="G735" t="s">
        <v>24</v>
      </c>
      <c r="H735" t="s">
        <v>25</v>
      </c>
      <c r="I735" t="s">
        <v>26</v>
      </c>
      <c r="J735" t="s">
        <v>39</v>
      </c>
      <c r="K735" t="s">
        <v>53</v>
      </c>
      <c r="L735" t="s">
        <v>1596</v>
      </c>
      <c r="M735" t="s">
        <v>47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31</v>
      </c>
      <c r="U735" t="s">
        <v>32</v>
      </c>
      <c r="V735">
        <f t="shared" si="45"/>
        <v>25181.64</v>
      </c>
      <c r="W735">
        <f t="shared" si="46"/>
        <v>9843.74</v>
      </c>
      <c r="X735">
        <f t="shared" si="47"/>
        <v>39.090940860086953</v>
      </c>
      <c r="Y735">
        <f t="shared" si="48"/>
        <v>7</v>
      </c>
      <c r="Z735" t="str" cm="1">
        <f t="array" ref="Z735">_xlfn.IFS(Y735&lt;0, "Invalid Date", ISBLANK(G735), "Missing Region", TRUE, "Clean")</f>
        <v>Clean</v>
      </c>
    </row>
    <row r="736" spans="1:26">
      <c r="A736" t="s">
        <v>1597</v>
      </c>
      <c r="B736" s="4">
        <v>45528</v>
      </c>
      <c r="C736" s="6">
        <v>45528</v>
      </c>
      <c r="D736" t="s">
        <v>2655</v>
      </c>
      <c r="E736" t="s">
        <v>57</v>
      </c>
      <c r="F736" t="s">
        <v>35</v>
      </c>
      <c r="G736" t="s">
        <v>24</v>
      </c>
      <c r="H736" t="s">
        <v>25</v>
      </c>
      <c r="I736" t="s">
        <v>26</v>
      </c>
      <c r="J736" t="s">
        <v>68</v>
      </c>
      <c r="K736" t="s">
        <v>69</v>
      </c>
      <c r="L736" t="s">
        <v>1598</v>
      </c>
      <c r="M736" t="s">
        <v>47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31</v>
      </c>
      <c r="U736" t="s">
        <v>32</v>
      </c>
      <c r="V736">
        <f t="shared" si="45"/>
        <v>8837.9520000000011</v>
      </c>
      <c r="W736">
        <f t="shared" si="46"/>
        <v>2680.6820000000007</v>
      </c>
      <c r="X736">
        <f t="shared" si="47"/>
        <v>30.331484036120589</v>
      </c>
      <c r="Y736">
        <f t="shared" si="48"/>
        <v>0</v>
      </c>
      <c r="Z736" t="str" cm="1">
        <f t="array" ref="Z736">_xlfn.IFS(Y736&lt;0, "Invalid Date", ISBLANK(G736), "Missing Region", TRUE, "Clean")</f>
        <v>Clean</v>
      </c>
    </row>
    <row r="737" spans="1:26">
      <c r="A737" t="s">
        <v>1599</v>
      </c>
      <c r="B737" s="4">
        <v>45604</v>
      </c>
      <c r="C737" s="6">
        <v>45523</v>
      </c>
      <c r="D737" t="s">
        <v>2656</v>
      </c>
      <c r="E737" t="s">
        <v>34</v>
      </c>
      <c r="F737" t="s">
        <v>23</v>
      </c>
      <c r="G737" t="s">
        <v>58</v>
      </c>
      <c r="H737" t="s">
        <v>59</v>
      </c>
      <c r="I737" t="s">
        <v>60</v>
      </c>
      <c r="J737" t="s">
        <v>39</v>
      </c>
      <c r="K737" t="s">
        <v>40</v>
      </c>
      <c r="L737" t="s">
        <v>1600</v>
      </c>
      <c r="M737" t="s">
        <v>55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31</v>
      </c>
      <c r="U737" t="s">
        <v>32</v>
      </c>
      <c r="V737">
        <f t="shared" si="45"/>
        <v>7275.7920000000004</v>
      </c>
      <c r="W737">
        <f t="shared" si="46"/>
        <v>1122.9220000000005</v>
      </c>
      <c r="X737">
        <f t="shared" si="47"/>
        <v>15.433673749881805</v>
      </c>
      <c r="Y737">
        <f t="shared" si="48"/>
        <v>-81</v>
      </c>
      <c r="Z737" t="str" cm="1">
        <f t="array" ref="Z737">_xlfn.IFS(Y737&lt;0, "Invalid Date", ISBLANK(G737), "Missing Region", TRUE, "Clean")</f>
        <v>Invalid Date</v>
      </c>
    </row>
    <row r="738" spans="1:26">
      <c r="A738" t="s">
        <v>1601</v>
      </c>
      <c r="B738" s="4">
        <v>45455</v>
      </c>
      <c r="C738" s="6">
        <v>45547</v>
      </c>
      <c r="D738" t="s">
        <v>2657</v>
      </c>
      <c r="E738" t="s">
        <v>80</v>
      </c>
      <c r="F738" t="s">
        <v>23</v>
      </c>
      <c r="G738" t="s">
        <v>58</v>
      </c>
      <c r="H738" t="s">
        <v>59</v>
      </c>
      <c r="I738" t="s">
        <v>60</v>
      </c>
      <c r="J738" t="s">
        <v>39</v>
      </c>
      <c r="K738" t="s">
        <v>61</v>
      </c>
      <c r="L738" t="s">
        <v>1602</v>
      </c>
      <c r="M738" t="s">
        <v>30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31</v>
      </c>
      <c r="U738" t="s">
        <v>32</v>
      </c>
      <c r="V738">
        <f t="shared" si="45"/>
        <v>2355.0750000000003</v>
      </c>
      <c r="W738">
        <f t="shared" si="46"/>
        <v>1005.0450000000003</v>
      </c>
      <c r="X738">
        <f t="shared" si="47"/>
        <v>42.675710964618965</v>
      </c>
      <c r="Y738">
        <f t="shared" si="48"/>
        <v>92</v>
      </c>
      <c r="Z738" t="str" cm="1">
        <f t="array" ref="Z738">_xlfn.IFS(Y738&lt;0, "Invalid Date", ISBLANK(G738), "Missing Region", TRUE, "Clean")</f>
        <v>Clean</v>
      </c>
    </row>
    <row r="739" spans="1:26">
      <c r="A739" t="s">
        <v>1603</v>
      </c>
      <c r="B739" s="4">
        <v>45567</v>
      </c>
      <c r="C739" s="6">
        <v>45567</v>
      </c>
      <c r="D739" t="s">
        <v>2658</v>
      </c>
      <c r="E739" t="s">
        <v>44</v>
      </c>
      <c r="F739" t="s">
        <v>85</v>
      </c>
      <c r="G739" t="s">
        <v>58</v>
      </c>
      <c r="H739" t="s">
        <v>59</v>
      </c>
      <c r="I739" t="s">
        <v>60</v>
      </c>
      <c r="J739" t="s">
        <v>39</v>
      </c>
      <c r="K739" t="s">
        <v>61</v>
      </c>
      <c r="L739" t="s">
        <v>1604</v>
      </c>
      <c r="M739" t="s">
        <v>42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31</v>
      </c>
      <c r="U739" t="s">
        <v>32</v>
      </c>
      <c r="V739">
        <f t="shared" si="45"/>
        <v>3609.12</v>
      </c>
      <c r="W739">
        <f t="shared" si="46"/>
        <v>963.61999999999989</v>
      </c>
      <c r="X739">
        <f t="shared" si="47"/>
        <v>26.699583277918158</v>
      </c>
      <c r="Y739">
        <f t="shared" si="48"/>
        <v>0</v>
      </c>
      <c r="Z739" t="str" cm="1">
        <f t="array" ref="Z739">_xlfn.IFS(Y739&lt;0, "Invalid Date", ISBLANK(G739), "Missing Region", TRUE, "Clean")</f>
        <v>Clean</v>
      </c>
    </row>
    <row r="740" spans="1:26">
      <c r="A740" t="s">
        <v>1605</v>
      </c>
      <c r="B740" s="4">
        <v>45708</v>
      </c>
      <c r="C740" s="6">
        <v>45710</v>
      </c>
      <c r="D740" t="s">
        <v>2659</v>
      </c>
      <c r="E740" t="s">
        <v>100</v>
      </c>
      <c r="F740" t="s">
        <v>81</v>
      </c>
      <c r="G740" t="s">
        <v>50</v>
      </c>
      <c r="H740" t="s">
        <v>155</v>
      </c>
      <c r="I740" t="s">
        <v>156</v>
      </c>
      <c r="J740" t="s">
        <v>27</v>
      </c>
      <c r="K740" t="s">
        <v>28</v>
      </c>
      <c r="L740" t="s">
        <v>1606</v>
      </c>
      <c r="M740" t="s">
        <v>47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31</v>
      </c>
      <c r="U740" t="s">
        <v>32</v>
      </c>
      <c r="V740">
        <f t="shared" si="45"/>
        <v>2188.19</v>
      </c>
      <c r="W740">
        <f t="shared" si="46"/>
        <v>889.35000000000014</v>
      </c>
      <c r="X740">
        <f t="shared" si="47"/>
        <v>40.643179979800664</v>
      </c>
      <c r="Y740">
        <f t="shared" si="48"/>
        <v>2</v>
      </c>
      <c r="Z740" t="str" cm="1">
        <f t="array" ref="Z740">_xlfn.IFS(Y740&lt;0, "Invalid Date", ISBLANK(G740), "Missing Region", TRUE, "Clean")</f>
        <v>Clean</v>
      </c>
    </row>
    <row r="741" spans="1:26">
      <c r="A741" t="s">
        <v>1607</v>
      </c>
      <c r="B741" s="4">
        <v>45363</v>
      </c>
      <c r="C741" s="6">
        <v>45636</v>
      </c>
      <c r="D741" t="s">
        <v>2087</v>
      </c>
      <c r="E741" t="s">
        <v>72</v>
      </c>
      <c r="F741" t="s">
        <v>81</v>
      </c>
      <c r="G741" t="s">
        <v>24</v>
      </c>
      <c r="H741" t="s">
        <v>25</v>
      </c>
      <c r="I741" t="s">
        <v>26</v>
      </c>
      <c r="J741" t="s">
        <v>68</v>
      </c>
      <c r="K741" t="s">
        <v>144</v>
      </c>
      <c r="L741" t="s">
        <v>1608</v>
      </c>
      <c r="M741" t="s">
        <v>55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31</v>
      </c>
      <c r="U741" t="s">
        <v>32</v>
      </c>
      <c r="V741">
        <f t="shared" si="45"/>
        <v>11370.835000000001</v>
      </c>
      <c r="W741">
        <f t="shared" si="46"/>
        <v>3901.255000000001</v>
      </c>
      <c r="X741">
        <f t="shared" si="47"/>
        <v>34.309309738466879</v>
      </c>
      <c r="Y741">
        <f t="shared" si="48"/>
        <v>273</v>
      </c>
      <c r="Z741" t="str" cm="1">
        <f t="array" ref="Z741">_xlfn.IFS(Y741&lt;0, "Invalid Date", ISBLANK(G741), "Missing Region", TRUE, "Clean")</f>
        <v>Clean</v>
      </c>
    </row>
    <row r="742" spans="1:26">
      <c r="A742" t="s">
        <v>1609</v>
      </c>
      <c r="B742" s="4">
        <v>45326</v>
      </c>
      <c r="C742" s="6">
        <v>45384</v>
      </c>
      <c r="D742" t="s">
        <v>2660</v>
      </c>
      <c r="E742" t="s">
        <v>114</v>
      </c>
      <c r="F742" t="s">
        <v>35</v>
      </c>
      <c r="G742" t="s">
        <v>58</v>
      </c>
      <c r="H742" t="s">
        <v>59</v>
      </c>
      <c r="I742" t="s">
        <v>60</v>
      </c>
      <c r="J742" t="s">
        <v>39</v>
      </c>
      <c r="K742" t="s">
        <v>61</v>
      </c>
      <c r="L742" t="s">
        <v>1610</v>
      </c>
      <c r="M742" t="s">
        <v>47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31</v>
      </c>
      <c r="U742" t="s">
        <v>32</v>
      </c>
      <c r="V742">
        <f t="shared" si="45"/>
        <v>9298.8000000000011</v>
      </c>
      <c r="W742">
        <f t="shared" si="46"/>
        <v>2750.3000000000011</v>
      </c>
      <c r="X742">
        <f t="shared" si="47"/>
        <v>29.576934658235484</v>
      </c>
      <c r="Y742">
        <f t="shared" si="48"/>
        <v>58</v>
      </c>
      <c r="Z742" t="str" cm="1">
        <f t="array" ref="Z742">_xlfn.IFS(Y742&lt;0, "Invalid Date", ISBLANK(G742), "Missing Region", TRUE, "Clean")</f>
        <v>Clean</v>
      </c>
    </row>
    <row r="743" spans="1:26">
      <c r="A743" t="s">
        <v>1611</v>
      </c>
      <c r="B743" s="4">
        <v>45770</v>
      </c>
      <c r="C743" s="6">
        <v>45772</v>
      </c>
      <c r="D743" t="s">
        <v>2661</v>
      </c>
      <c r="E743" t="s">
        <v>44</v>
      </c>
      <c r="F743" t="s">
        <v>85</v>
      </c>
      <c r="G743" t="s">
        <v>50</v>
      </c>
      <c r="H743" t="s">
        <v>200</v>
      </c>
      <c r="I743" t="s">
        <v>201</v>
      </c>
      <c r="J743" t="s">
        <v>39</v>
      </c>
      <c r="K743" t="s">
        <v>61</v>
      </c>
      <c r="L743" t="s">
        <v>1612</v>
      </c>
      <c r="M743" t="s">
        <v>30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31</v>
      </c>
      <c r="U743" t="s">
        <v>63</v>
      </c>
      <c r="V743">
        <f t="shared" si="45"/>
        <v>8853.36</v>
      </c>
      <c r="W743">
        <f t="shared" si="46"/>
        <v>3257.0200000000004</v>
      </c>
      <c r="X743">
        <f t="shared" si="47"/>
        <v>36.788518709281</v>
      </c>
      <c r="Y743">
        <f t="shared" si="48"/>
        <v>2</v>
      </c>
      <c r="Z743" t="str" cm="1">
        <f t="array" ref="Z743">_xlfn.IFS(Y743&lt;0, "Invalid Date", ISBLANK(G743), "Missing Region", TRUE, "Clean")</f>
        <v>Clean</v>
      </c>
    </row>
    <row r="744" spans="1:26">
      <c r="A744" t="s">
        <v>1613</v>
      </c>
      <c r="B744" s="4">
        <v>45580</v>
      </c>
      <c r="C744" s="6">
        <v>45587</v>
      </c>
      <c r="D744" t="s">
        <v>2662</v>
      </c>
      <c r="E744" t="s">
        <v>22</v>
      </c>
      <c r="F744" t="s">
        <v>81</v>
      </c>
      <c r="G744" t="s">
        <v>36</v>
      </c>
      <c r="H744" t="s">
        <v>37</v>
      </c>
      <c r="I744" t="s">
        <v>38</v>
      </c>
      <c r="J744" t="s">
        <v>27</v>
      </c>
      <c r="K744" t="s">
        <v>28</v>
      </c>
      <c r="L744" t="s">
        <v>1614</v>
      </c>
      <c r="M744" t="s">
        <v>55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31</v>
      </c>
      <c r="U744" t="s">
        <v>32</v>
      </c>
      <c r="V744">
        <f t="shared" si="45"/>
        <v>9043.7999999999993</v>
      </c>
      <c r="W744">
        <f t="shared" si="46"/>
        <v>3130.4199999999992</v>
      </c>
      <c r="X744">
        <f t="shared" si="47"/>
        <v>34.6139896945974</v>
      </c>
      <c r="Y744">
        <f t="shared" si="48"/>
        <v>7</v>
      </c>
      <c r="Z744" t="str" cm="1">
        <f t="array" ref="Z744">_xlfn.IFS(Y744&lt;0, "Invalid Date", ISBLANK(G744), "Missing Region", TRUE, "Clean")</f>
        <v>Clean</v>
      </c>
    </row>
    <row r="745" spans="1:26">
      <c r="A745" t="s">
        <v>1615</v>
      </c>
      <c r="B745" s="4">
        <v>45700</v>
      </c>
      <c r="C745" s="6">
        <v>45702</v>
      </c>
      <c r="D745" t="s">
        <v>2663</v>
      </c>
      <c r="E745" t="s">
        <v>114</v>
      </c>
      <c r="F745" t="s">
        <v>23</v>
      </c>
      <c r="G745" t="s">
        <v>24</v>
      </c>
      <c r="H745" t="s">
        <v>117</v>
      </c>
      <c r="I745" t="s">
        <v>118</v>
      </c>
      <c r="J745" t="s">
        <v>27</v>
      </c>
      <c r="K745" t="s">
        <v>45</v>
      </c>
      <c r="L745" t="s">
        <v>1616</v>
      </c>
      <c r="M745" t="s">
        <v>55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31</v>
      </c>
      <c r="U745" t="s">
        <v>32</v>
      </c>
      <c r="V745">
        <f t="shared" si="45"/>
        <v>2211.2999999999997</v>
      </c>
      <c r="W745">
        <f t="shared" si="46"/>
        <v>475.65999999999963</v>
      </c>
      <c r="X745">
        <f t="shared" si="47"/>
        <v>21.510423732645943</v>
      </c>
      <c r="Y745">
        <f t="shared" si="48"/>
        <v>2</v>
      </c>
      <c r="Z745" t="str" cm="1">
        <f t="array" ref="Z745">_xlfn.IFS(Y745&lt;0, "Invalid Date", ISBLANK(G745), "Missing Region", TRUE, "Clean")</f>
        <v>Clean</v>
      </c>
    </row>
    <row r="746" spans="1:26">
      <c r="A746" t="s">
        <v>1617</v>
      </c>
      <c r="B746" s="4">
        <v>45886</v>
      </c>
      <c r="C746" s="6">
        <v>45889</v>
      </c>
      <c r="D746" t="s">
        <v>2664</v>
      </c>
      <c r="E746" t="s">
        <v>34</v>
      </c>
      <c r="F746" t="s">
        <v>85</v>
      </c>
      <c r="G746" t="s">
        <v>24</v>
      </c>
      <c r="H746" t="s">
        <v>106</v>
      </c>
      <c r="I746" t="s">
        <v>107</v>
      </c>
      <c r="J746" t="s">
        <v>27</v>
      </c>
      <c r="K746" t="s">
        <v>130</v>
      </c>
      <c r="L746" t="s">
        <v>1618</v>
      </c>
      <c r="M746" t="s">
        <v>47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31</v>
      </c>
      <c r="U746" t="s">
        <v>63</v>
      </c>
      <c r="V746">
        <f t="shared" si="45"/>
        <v>12158.504999999999</v>
      </c>
      <c r="W746">
        <f t="shared" si="46"/>
        <v>1898.4349999999995</v>
      </c>
      <c r="X746">
        <f t="shared" si="47"/>
        <v>15.614049589155901</v>
      </c>
      <c r="Y746">
        <f t="shared" si="48"/>
        <v>3</v>
      </c>
      <c r="Z746" t="str" cm="1">
        <f t="array" ref="Z746">_xlfn.IFS(Y746&lt;0, "Invalid Date", ISBLANK(G746), "Missing Region", TRUE, "Clean")</f>
        <v>Clean</v>
      </c>
    </row>
    <row r="747" spans="1:26">
      <c r="A747" t="s">
        <v>1619</v>
      </c>
      <c r="B747" s="4">
        <v>45589</v>
      </c>
      <c r="C747" s="6">
        <v>45593</v>
      </c>
      <c r="D747" t="s">
        <v>2575</v>
      </c>
      <c r="E747" t="s">
        <v>34</v>
      </c>
      <c r="F747" t="s">
        <v>35</v>
      </c>
      <c r="G747" t="s">
        <v>36</v>
      </c>
      <c r="H747" t="s">
        <v>140</v>
      </c>
      <c r="I747" t="s">
        <v>141</v>
      </c>
      <c r="J747" t="s">
        <v>68</v>
      </c>
      <c r="K747" t="s">
        <v>73</v>
      </c>
      <c r="L747" t="s">
        <v>1620</v>
      </c>
      <c r="M747" t="s">
        <v>55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31</v>
      </c>
      <c r="U747" t="s">
        <v>32</v>
      </c>
      <c r="V747">
        <f t="shared" si="45"/>
        <v>1736.616</v>
      </c>
      <c r="W747">
        <f t="shared" si="46"/>
        <v>677.096</v>
      </c>
      <c r="X747">
        <f t="shared" si="47"/>
        <v>38.989390861307278</v>
      </c>
      <c r="Y747">
        <f t="shared" si="48"/>
        <v>4</v>
      </c>
      <c r="Z747" t="str" cm="1">
        <f t="array" ref="Z747">_xlfn.IFS(Y747&lt;0, "Invalid Date", ISBLANK(G747), "Missing Region", TRUE, "Clean")</f>
        <v>Clean</v>
      </c>
    </row>
    <row r="748" spans="1:26">
      <c r="A748" t="s">
        <v>1621</v>
      </c>
      <c r="B748" s="4">
        <v>45748</v>
      </c>
      <c r="C748" s="6">
        <v>45931</v>
      </c>
      <c r="D748" t="s">
        <v>2665</v>
      </c>
      <c r="E748" t="s">
        <v>111</v>
      </c>
      <c r="F748" t="s">
        <v>85</v>
      </c>
      <c r="G748" t="s">
        <v>36</v>
      </c>
      <c r="H748" t="s">
        <v>88</v>
      </c>
      <c r="I748" t="s">
        <v>89</v>
      </c>
      <c r="J748" t="s">
        <v>27</v>
      </c>
      <c r="K748" t="s">
        <v>28</v>
      </c>
      <c r="L748" t="s">
        <v>1622</v>
      </c>
      <c r="M748" t="s">
        <v>55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31</v>
      </c>
      <c r="U748" t="s">
        <v>32</v>
      </c>
      <c r="V748">
        <f t="shared" si="45"/>
        <v>8266.2080000000005</v>
      </c>
      <c r="W748">
        <f t="shared" si="46"/>
        <v>2029.8880000000008</v>
      </c>
      <c r="X748">
        <f t="shared" si="47"/>
        <v>24.556459261610652</v>
      </c>
      <c r="Y748">
        <f t="shared" si="48"/>
        <v>183</v>
      </c>
      <c r="Z748" t="str" cm="1">
        <f t="array" ref="Z748">_xlfn.IFS(Y748&lt;0, "Invalid Date", ISBLANK(G748), "Missing Region", TRUE, "Clean")</f>
        <v>Clean</v>
      </c>
    </row>
    <row r="749" spans="1:26">
      <c r="A749" t="s">
        <v>1623</v>
      </c>
      <c r="B749" s="4">
        <v>45296</v>
      </c>
      <c r="C749" s="6">
        <v>45478</v>
      </c>
      <c r="D749" t="s">
        <v>2666</v>
      </c>
      <c r="E749" t="s">
        <v>44</v>
      </c>
      <c r="F749" t="s">
        <v>85</v>
      </c>
      <c r="G749" t="s">
        <v>36</v>
      </c>
      <c r="H749" t="s">
        <v>37</v>
      </c>
      <c r="I749" t="s">
        <v>38</v>
      </c>
      <c r="J749" t="s">
        <v>27</v>
      </c>
      <c r="K749" t="s">
        <v>28</v>
      </c>
      <c r="L749" t="s">
        <v>1624</v>
      </c>
      <c r="M749" t="s">
        <v>42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31</v>
      </c>
      <c r="U749" t="s">
        <v>32</v>
      </c>
      <c r="V749">
        <f t="shared" si="45"/>
        <v>10022.044</v>
      </c>
      <c r="W749">
        <f t="shared" si="46"/>
        <v>4445.0640000000003</v>
      </c>
      <c r="X749">
        <f t="shared" si="47"/>
        <v>44.352868536597931</v>
      </c>
      <c r="Y749">
        <f t="shared" si="48"/>
        <v>182</v>
      </c>
      <c r="Z749" t="str" cm="1">
        <f t="array" ref="Z749">_xlfn.IFS(Y749&lt;0, "Invalid Date", ISBLANK(G749), "Missing Region", TRUE, "Clean")</f>
        <v>Clean</v>
      </c>
    </row>
    <row r="750" spans="1:26">
      <c r="A750" t="s">
        <v>1625</v>
      </c>
      <c r="B750" s="4">
        <v>45442</v>
      </c>
      <c r="C750" s="6">
        <v>45442</v>
      </c>
      <c r="D750" t="s">
        <v>2667</v>
      </c>
      <c r="E750" t="s">
        <v>137</v>
      </c>
      <c r="F750" t="s">
        <v>85</v>
      </c>
      <c r="G750" t="s">
        <v>24</v>
      </c>
      <c r="H750" t="s">
        <v>192</v>
      </c>
      <c r="I750" t="s">
        <v>193</v>
      </c>
      <c r="J750" t="s">
        <v>68</v>
      </c>
      <c r="K750" t="s">
        <v>144</v>
      </c>
      <c r="L750" t="s">
        <v>1626</v>
      </c>
      <c r="M750" t="s">
        <v>30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31</v>
      </c>
      <c r="U750" t="s">
        <v>32</v>
      </c>
      <c r="V750">
        <f t="shared" si="45"/>
        <v>2886.0299999999997</v>
      </c>
      <c r="W750">
        <f t="shared" si="46"/>
        <v>821.19999999999982</v>
      </c>
      <c r="X750">
        <f t="shared" si="47"/>
        <v>28.454312671732445</v>
      </c>
      <c r="Y750">
        <f t="shared" si="48"/>
        <v>0</v>
      </c>
      <c r="Z750" t="str" cm="1">
        <f t="array" ref="Z750">_xlfn.IFS(Y750&lt;0, "Invalid Date", ISBLANK(G750), "Missing Region", TRUE, "Clean")</f>
        <v>Clean</v>
      </c>
    </row>
    <row r="751" spans="1:26">
      <c r="A751" t="s">
        <v>1627</v>
      </c>
      <c r="B751" s="4">
        <v>45372</v>
      </c>
      <c r="C751" s="6">
        <v>45376</v>
      </c>
      <c r="D751" t="s">
        <v>2668</v>
      </c>
      <c r="E751" t="s">
        <v>80</v>
      </c>
      <c r="F751" t="s">
        <v>85</v>
      </c>
      <c r="G751" t="s">
        <v>36</v>
      </c>
      <c r="H751" t="s">
        <v>140</v>
      </c>
      <c r="I751" t="s">
        <v>141</v>
      </c>
      <c r="J751" t="s">
        <v>68</v>
      </c>
      <c r="K751" t="s">
        <v>219</v>
      </c>
      <c r="L751" t="s">
        <v>1628</v>
      </c>
      <c r="M751" t="s">
        <v>55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31</v>
      </c>
      <c r="U751" t="s">
        <v>32</v>
      </c>
      <c r="V751">
        <f t="shared" si="45"/>
        <v>1459.1949999999999</v>
      </c>
      <c r="W751">
        <f t="shared" si="46"/>
        <v>403.40499999999997</v>
      </c>
      <c r="X751">
        <f t="shared" si="47"/>
        <v>27.645722470266136</v>
      </c>
      <c r="Y751">
        <f t="shared" si="48"/>
        <v>4</v>
      </c>
      <c r="Z751" t="str" cm="1">
        <f t="array" ref="Z751">_xlfn.IFS(Y751&lt;0, "Invalid Date", ISBLANK(G751), "Missing Region", TRUE, "Clean")</f>
        <v>Clean</v>
      </c>
    </row>
    <row r="752" spans="1:26">
      <c r="A752" t="s">
        <v>1629</v>
      </c>
      <c r="B752" s="4">
        <v>45810</v>
      </c>
      <c r="C752" s="6">
        <v>45694</v>
      </c>
      <c r="D752" t="s">
        <v>2669</v>
      </c>
      <c r="E752" t="s">
        <v>111</v>
      </c>
      <c r="F752" t="s">
        <v>85</v>
      </c>
      <c r="G752" t="s">
        <v>50</v>
      </c>
      <c r="H752" t="s">
        <v>51</v>
      </c>
      <c r="I752" t="s">
        <v>52</v>
      </c>
      <c r="J752" t="s">
        <v>68</v>
      </c>
      <c r="K752" t="s">
        <v>69</v>
      </c>
      <c r="L752" t="s">
        <v>1630</v>
      </c>
      <c r="M752" t="s">
        <v>47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31</v>
      </c>
      <c r="U752" t="s">
        <v>32</v>
      </c>
      <c r="V752">
        <f t="shared" si="45"/>
        <v>26696.323999999997</v>
      </c>
      <c r="W752">
        <f t="shared" si="46"/>
        <v>3971.8039999999964</v>
      </c>
      <c r="X752">
        <f t="shared" si="47"/>
        <v>14.87771874509763</v>
      </c>
      <c r="Y752">
        <f t="shared" si="48"/>
        <v>-116</v>
      </c>
      <c r="Z752" t="str" cm="1">
        <f t="array" ref="Z752">_xlfn.IFS(Y752&lt;0, "Invalid Date", ISBLANK(G752), "Missing Region", TRUE, "Clean")</f>
        <v>Invalid Date</v>
      </c>
    </row>
    <row r="753" spans="1:26">
      <c r="A753" t="s">
        <v>1631</v>
      </c>
      <c r="B753" s="4">
        <v>45856</v>
      </c>
      <c r="C753" s="6">
        <v>45857</v>
      </c>
      <c r="D753" t="s">
        <v>2670</v>
      </c>
      <c r="E753" t="s">
        <v>100</v>
      </c>
      <c r="F753" t="s">
        <v>85</v>
      </c>
      <c r="G753" t="s">
        <v>2806</v>
      </c>
      <c r="H753" t="s">
        <v>117</v>
      </c>
      <c r="I753" t="s">
        <v>118</v>
      </c>
      <c r="J753" t="s">
        <v>68</v>
      </c>
      <c r="K753" t="s">
        <v>219</v>
      </c>
      <c r="L753" t="s">
        <v>1632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31</v>
      </c>
      <c r="U753" t="s">
        <v>32</v>
      </c>
      <c r="V753">
        <f t="shared" si="45"/>
        <v>8445.2624999999989</v>
      </c>
      <c r="W753">
        <f t="shared" si="46"/>
        <v>1507.6624999999985</v>
      </c>
      <c r="X753">
        <f t="shared" si="47"/>
        <v>17.852168597482894</v>
      </c>
      <c r="Y753">
        <f t="shared" si="48"/>
        <v>1</v>
      </c>
      <c r="Z753" t="str" cm="1">
        <f t="array" ref="Z753">_xlfn.IFS(Y753&lt;0, "Invalid Date", ISBLANK(G753), "Missing Region", TRUE, "Clean")</f>
        <v>Clean</v>
      </c>
    </row>
    <row r="754" spans="1:26">
      <c r="A754" t="s">
        <v>1633</v>
      </c>
      <c r="B754" s="4">
        <v>45375</v>
      </c>
      <c r="C754" s="6">
        <v>45378</v>
      </c>
      <c r="D754" t="s">
        <v>2671</v>
      </c>
      <c r="E754" t="s">
        <v>80</v>
      </c>
      <c r="F754" t="s">
        <v>81</v>
      </c>
      <c r="G754" t="s">
        <v>58</v>
      </c>
      <c r="H754" t="s">
        <v>151</v>
      </c>
      <c r="I754" t="s">
        <v>152</v>
      </c>
      <c r="J754" t="s">
        <v>27</v>
      </c>
      <c r="K754" t="s">
        <v>108</v>
      </c>
      <c r="L754" t="s">
        <v>1634</v>
      </c>
      <c r="M754" t="s">
        <v>47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31</v>
      </c>
      <c r="U754" t="s">
        <v>32</v>
      </c>
      <c r="V754">
        <f t="shared" si="45"/>
        <v>11709.794999999998</v>
      </c>
      <c r="W754">
        <f t="shared" si="46"/>
        <v>3337.5049999999974</v>
      </c>
      <c r="X754">
        <f t="shared" si="47"/>
        <v>28.501822619439523</v>
      </c>
      <c r="Y754">
        <f t="shared" si="48"/>
        <v>3</v>
      </c>
      <c r="Z754" t="str" cm="1">
        <f t="array" ref="Z754">_xlfn.IFS(Y754&lt;0, "Invalid Date", ISBLANK(G754), "Missing Region", TRUE, "Clean")</f>
        <v>Clean</v>
      </c>
    </row>
    <row r="755" spans="1:26">
      <c r="A755" t="s">
        <v>1635</v>
      </c>
      <c r="B755" s="4">
        <v>45604</v>
      </c>
      <c r="C755" s="6">
        <v>45573</v>
      </c>
      <c r="D755" t="s">
        <v>2672</v>
      </c>
      <c r="E755" t="s">
        <v>80</v>
      </c>
      <c r="F755" t="s">
        <v>81</v>
      </c>
      <c r="G755" t="s">
        <v>24</v>
      </c>
      <c r="H755" t="s">
        <v>270</v>
      </c>
      <c r="I755" t="s">
        <v>271</v>
      </c>
      <c r="J755" t="s">
        <v>39</v>
      </c>
      <c r="K755" t="s">
        <v>53</v>
      </c>
      <c r="L755" t="s">
        <v>1636</v>
      </c>
      <c r="M755" t="s">
        <v>30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132</v>
      </c>
      <c r="U755" t="s">
        <v>92</v>
      </c>
      <c r="V755">
        <f t="shared" si="45"/>
        <v>2593.9109999999996</v>
      </c>
      <c r="W755">
        <f t="shared" si="46"/>
        <v>745.43099999999959</v>
      </c>
      <c r="X755">
        <f t="shared" si="47"/>
        <v>28.737724617382774</v>
      </c>
      <c r="Y755">
        <f t="shared" si="48"/>
        <v>-31</v>
      </c>
      <c r="Z755" t="str" cm="1">
        <f t="array" ref="Z755">_xlfn.IFS(Y755&lt;0, "Invalid Date", ISBLANK(G755), "Missing Region", TRUE, "Clean")</f>
        <v>Invalid Date</v>
      </c>
    </row>
    <row r="756" spans="1:26">
      <c r="A756" t="s">
        <v>1637</v>
      </c>
      <c r="B756" s="4">
        <v>45812</v>
      </c>
      <c r="C756" s="6">
        <v>45812</v>
      </c>
      <c r="D756" t="s">
        <v>2673</v>
      </c>
      <c r="E756" t="s">
        <v>72</v>
      </c>
      <c r="F756" t="s">
        <v>81</v>
      </c>
      <c r="G756" t="s">
        <v>50</v>
      </c>
      <c r="H756" t="s">
        <v>155</v>
      </c>
      <c r="I756" t="s">
        <v>156</v>
      </c>
      <c r="J756" t="s">
        <v>27</v>
      </c>
      <c r="K756" t="s">
        <v>108</v>
      </c>
      <c r="L756" t="s">
        <v>1638</v>
      </c>
      <c r="M756" t="s">
        <v>55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31</v>
      </c>
      <c r="U756" t="s">
        <v>32</v>
      </c>
      <c r="V756">
        <f t="shared" si="45"/>
        <v>2674.02</v>
      </c>
      <c r="W756">
        <f t="shared" si="46"/>
        <v>466.44999999999982</v>
      </c>
      <c r="X756">
        <f t="shared" si="47"/>
        <v>17.44377379376369</v>
      </c>
      <c r="Y756">
        <f t="shared" si="48"/>
        <v>0</v>
      </c>
      <c r="Z756" t="str" cm="1">
        <f t="array" ref="Z756">_xlfn.IFS(Y756&lt;0, "Invalid Date", ISBLANK(G756), "Missing Region", TRUE, "Clean")</f>
        <v>Clean</v>
      </c>
    </row>
    <row r="757" spans="1:26">
      <c r="A757" t="s">
        <v>1639</v>
      </c>
      <c r="B757" s="4">
        <v>45858</v>
      </c>
      <c r="C757" s="6">
        <v>45862</v>
      </c>
      <c r="D757" t="s">
        <v>2674</v>
      </c>
      <c r="E757" t="s">
        <v>100</v>
      </c>
      <c r="F757" t="s">
        <v>85</v>
      </c>
      <c r="G757" t="s">
        <v>58</v>
      </c>
      <c r="H757" t="s">
        <v>66</v>
      </c>
      <c r="I757" t="s">
        <v>67</v>
      </c>
      <c r="J757" t="s">
        <v>27</v>
      </c>
      <c r="K757" t="s">
        <v>108</v>
      </c>
      <c r="L757" t="s">
        <v>1640</v>
      </c>
      <c r="M757" t="s">
        <v>30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31</v>
      </c>
      <c r="U757" t="s">
        <v>32</v>
      </c>
      <c r="V757">
        <f t="shared" si="45"/>
        <v>9926.9599999999991</v>
      </c>
      <c r="W757">
        <f t="shared" si="46"/>
        <v>1931.9799999999996</v>
      </c>
      <c r="X757">
        <f t="shared" si="47"/>
        <v>19.461950083409217</v>
      </c>
      <c r="Y757">
        <f t="shared" si="48"/>
        <v>4</v>
      </c>
      <c r="Z757" t="str" cm="1">
        <f t="array" ref="Z757">_xlfn.IFS(Y757&lt;0, "Invalid Date", ISBLANK(G757), "Missing Region", TRUE, "Clean")</f>
        <v>Clean</v>
      </c>
    </row>
    <row r="758" spans="1:26">
      <c r="A758" t="s">
        <v>1641</v>
      </c>
      <c r="B758" s="4">
        <v>45592</v>
      </c>
      <c r="C758" s="6">
        <v>45597</v>
      </c>
      <c r="D758" t="s">
        <v>2675</v>
      </c>
      <c r="E758" t="s">
        <v>121</v>
      </c>
      <c r="F758" t="s">
        <v>23</v>
      </c>
      <c r="G758" t="s">
        <v>24</v>
      </c>
      <c r="H758" t="s">
        <v>25</v>
      </c>
      <c r="I758" t="s">
        <v>26</v>
      </c>
      <c r="J758" t="s">
        <v>68</v>
      </c>
      <c r="K758" t="s">
        <v>69</v>
      </c>
      <c r="L758" t="s">
        <v>1642</v>
      </c>
      <c r="M758" t="s">
        <v>42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31</v>
      </c>
      <c r="U758" t="s">
        <v>92</v>
      </c>
      <c r="V758">
        <f t="shared" si="45"/>
        <v>12191.76</v>
      </c>
      <c r="W758">
        <f t="shared" si="46"/>
        <v>1734.2700000000004</v>
      </c>
      <c r="X758">
        <f t="shared" si="47"/>
        <v>14.224935530226976</v>
      </c>
      <c r="Y758">
        <f t="shared" si="48"/>
        <v>5</v>
      </c>
      <c r="Z758" t="str" cm="1">
        <f t="array" ref="Z758">_xlfn.IFS(Y758&lt;0, "Invalid Date", ISBLANK(G758), "Missing Region", TRUE, "Clean")</f>
        <v>Clean</v>
      </c>
    </row>
    <row r="759" spans="1:26">
      <c r="A759" t="s">
        <v>1643</v>
      </c>
      <c r="B759" s="4">
        <v>45665</v>
      </c>
      <c r="C759" s="6">
        <v>45724</v>
      </c>
      <c r="D759" t="s">
        <v>2676</v>
      </c>
      <c r="E759" t="s">
        <v>80</v>
      </c>
      <c r="F759" t="s">
        <v>35</v>
      </c>
      <c r="G759" t="s">
        <v>50</v>
      </c>
      <c r="H759" t="s">
        <v>155</v>
      </c>
      <c r="I759" t="s">
        <v>156</v>
      </c>
      <c r="J759" t="s">
        <v>39</v>
      </c>
      <c r="K759" t="s">
        <v>134</v>
      </c>
      <c r="L759" t="s">
        <v>1644</v>
      </c>
      <c r="M759" t="s">
        <v>55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132</v>
      </c>
      <c r="U759" t="s">
        <v>63</v>
      </c>
      <c r="V759">
        <f t="shared" si="45"/>
        <v>4285.7550000000001</v>
      </c>
      <c r="W759">
        <f t="shared" si="46"/>
        <v>1899.4250000000002</v>
      </c>
      <c r="X759">
        <f t="shared" si="47"/>
        <v>44.319495631458175</v>
      </c>
      <c r="Y759">
        <f t="shared" si="48"/>
        <v>59</v>
      </c>
      <c r="Z759" t="str" cm="1">
        <f t="array" ref="Z759">_xlfn.IFS(Y759&lt;0, "Invalid Date", ISBLANK(G759), "Missing Region", TRUE, "Clean")</f>
        <v>Clean</v>
      </c>
    </row>
    <row r="760" spans="1:26">
      <c r="A760" t="s">
        <v>1645</v>
      </c>
      <c r="B760" s="4">
        <v>45327</v>
      </c>
      <c r="C760" s="6">
        <v>45570</v>
      </c>
      <c r="D760" t="s">
        <v>2677</v>
      </c>
      <c r="E760" t="s">
        <v>111</v>
      </c>
      <c r="F760" t="s">
        <v>35</v>
      </c>
      <c r="G760" t="s">
        <v>50</v>
      </c>
      <c r="H760" t="s">
        <v>147</v>
      </c>
      <c r="I760" t="s">
        <v>148</v>
      </c>
      <c r="J760" t="s">
        <v>39</v>
      </c>
      <c r="K760" t="s">
        <v>61</v>
      </c>
      <c r="L760" t="s">
        <v>1646</v>
      </c>
      <c r="M760" t="s">
        <v>55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31</v>
      </c>
      <c r="U760" t="s">
        <v>32</v>
      </c>
      <c r="V760">
        <f t="shared" si="45"/>
        <v>4166.91</v>
      </c>
      <c r="W760">
        <f t="shared" si="46"/>
        <v>754.27999999999975</v>
      </c>
      <c r="X760">
        <f t="shared" si="47"/>
        <v>18.101662862888801</v>
      </c>
      <c r="Y760">
        <f t="shared" si="48"/>
        <v>243</v>
      </c>
      <c r="Z760" t="str" cm="1">
        <f t="array" ref="Z760">_xlfn.IFS(Y760&lt;0, "Invalid Date", ISBLANK(G760), "Missing Region", TRUE, "Clean")</f>
        <v>Clean</v>
      </c>
    </row>
    <row r="761" spans="1:26">
      <c r="A761" t="s">
        <v>1647</v>
      </c>
      <c r="B761" s="4">
        <v>45492</v>
      </c>
      <c r="C761" s="6">
        <v>45499</v>
      </c>
      <c r="D761" t="s">
        <v>2678</v>
      </c>
      <c r="E761" t="s">
        <v>49</v>
      </c>
      <c r="F761" t="s">
        <v>85</v>
      </c>
      <c r="G761" t="s">
        <v>50</v>
      </c>
      <c r="H761" t="s">
        <v>147</v>
      </c>
      <c r="I761" t="s">
        <v>148</v>
      </c>
      <c r="J761" t="s">
        <v>39</v>
      </c>
      <c r="K761" t="s">
        <v>40</v>
      </c>
      <c r="L761" t="s">
        <v>1648</v>
      </c>
      <c r="M761" t="s">
        <v>30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31</v>
      </c>
      <c r="U761" t="s">
        <v>32</v>
      </c>
      <c r="V761">
        <f t="shared" si="45"/>
        <v>14947.537500000002</v>
      </c>
      <c r="W761">
        <f t="shared" si="46"/>
        <v>5509.0775000000031</v>
      </c>
      <c r="X761">
        <f t="shared" si="47"/>
        <v>36.856087499362367</v>
      </c>
      <c r="Y761">
        <f t="shared" si="48"/>
        <v>7</v>
      </c>
      <c r="Z761" t="str" cm="1">
        <f t="array" ref="Z761">_xlfn.IFS(Y761&lt;0, "Invalid Date", ISBLANK(G761), "Missing Region", TRUE, "Clean")</f>
        <v>Clean</v>
      </c>
    </row>
    <row r="762" spans="1:26">
      <c r="A762" t="s">
        <v>1649</v>
      </c>
      <c r="B762" s="4">
        <v>45532</v>
      </c>
      <c r="C762" s="6">
        <v>45331</v>
      </c>
      <c r="D762" t="s">
        <v>2679</v>
      </c>
      <c r="E762" t="s">
        <v>80</v>
      </c>
      <c r="F762" t="s">
        <v>85</v>
      </c>
      <c r="G762" t="s">
        <v>36</v>
      </c>
      <c r="H762" t="s">
        <v>140</v>
      </c>
      <c r="I762" t="s">
        <v>141</v>
      </c>
      <c r="J762" t="s">
        <v>27</v>
      </c>
      <c r="K762" t="s">
        <v>45</v>
      </c>
      <c r="L762" t="s">
        <v>1650</v>
      </c>
      <c r="M762" t="s">
        <v>30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98</v>
      </c>
      <c r="U762" t="s">
        <v>92</v>
      </c>
      <c r="V762">
        <f t="shared" si="45"/>
        <v>13462.12</v>
      </c>
      <c r="W762">
        <f t="shared" si="46"/>
        <v>5861.4900000000007</v>
      </c>
      <c r="X762">
        <f t="shared" si="47"/>
        <v>43.540616188237813</v>
      </c>
      <c r="Y762">
        <f t="shared" si="48"/>
        <v>-201</v>
      </c>
      <c r="Z762" t="str" cm="1">
        <f t="array" ref="Z762">_xlfn.IFS(Y762&lt;0, "Invalid Date", ISBLANK(G762), "Missing Region", TRUE, "Clean")</f>
        <v>Invalid Date</v>
      </c>
    </row>
    <row r="763" spans="1:26">
      <c r="A763" t="s">
        <v>1651</v>
      </c>
      <c r="B763" s="4">
        <v>45896</v>
      </c>
      <c r="C763" s="6">
        <v>45900</v>
      </c>
      <c r="D763" t="s">
        <v>2680</v>
      </c>
      <c r="E763" t="s">
        <v>44</v>
      </c>
      <c r="F763" t="s">
        <v>23</v>
      </c>
      <c r="G763" t="s">
        <v>50</v>
      </c>
      <c r="H763" t="s">
        <v>147</v>
      </c>
      <c r="I763" t="s">
        <v>148</v>
      </c>
      <c r="J763" t="s">
        <v>68</v>
      </c>
      <c r="K763" t="s">
        <v>219</v>
      </c>
      <c r="L763" t="s">
        <v>1652</v>
      </c>
      <c r="M763" t="s">
        <v>47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31</v>
      </c>
      <c r="U763" t="s">
        <v>32</v>
      </c>
      <c r="V763">
        <f t="shared" si="45"/>
        <v>7467.36</v>
      </c>
      <c r="W763">
        <f t="shared" si="46"/>
        <v>2456.75</v>
      </c>
      <c r="X763">
        <f t="shared" si="47"/>
        <v>32.899846799940008</v>
      </c>
      <c r="Y763">
        <f t="shared" si="48"/>
        <v>4</v>
      </c>
      <c r="Z763" t="str" cm="1">
        <f t="array" ref="Z763">_xlfn.IFS(Y763&lt;0, "Invalid Date", ISBLANK(G763), "Missing Region", TRUE, "Clean")</f>
        <v>Clean</v>
      </c>
    </row>
    <row r="764" spans="1:26">
      <c r="A764" t="s">
        <v>1653</v>
      </c>
      <c r="B764" s="4">
        <v>45292</v>
      </c>
      <c r="C764" s="6">
        <v>45413</v>
      </c>
      <c r="D764" t="s">
        <v>2681</v>
      </c>
      <c r="E764" t="s">
        <v>137</v>
      </c>
      <c r="F764" t="s">
        <v>81</v>
      </c>
      <c r="G764" t="s">
        <v>58</v>
      </c>
      <c r="H764" t="s">
        <v>66</v>
      </c>
      <c r="I764" t="s">
        <v>67</v>
      </c>
      <c r="J764" t="s">
        <v>68</v>
      </c>
      <c r="K764" t="s">
        <v>219</v>
      </c>
      <c r="L764" t="s">
        <v>1654</v>
      </c>
      <c r="M764" t="s">
        <v>30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91</v>
      </c>
      <c r="U764" t="s">
        <v>92</v>
      </c>
      <c r="V764">
        <f t="shared" si="45"/>
        <v>5910.5920000000006</v>
      </c>
      <c r="W764">
        <f t="shared" si="46"/>
        <v>1135.152000000001</v>
      </c>
      <c r="X764">
        <f t="shared" si="47"/>
        <v>19.205385856442145</v>
      </c>
      <c r="Y764">
        <f t="shared" si="48"/>
        <v>121</v>
      </c>
      <c r="Z764" t="str" cm="1">
        <f t="array" ref="Z764">_xlfn.IFS(Y764&lt;0, "Invalid Date", ISBLANK(G764), "Missing Region", TRUE, "Clean")</f>
        <v>Clean</v>
      </c>
    </row>
    <row r="765" spans="1:26">
      <c r="A765" t="s">
        <v>1655</v>
      </c>
      <c r="B765" s="4">
        <v>45892</v>
      </c>
      <c r="C765" s="6">
        <v>45894</v>
      </c>
      <c r="D765" t="s">
        <v>2206</v>
      </c>
      <c r="E765" t="s">
        <v>137</v>
      </c>
      <c r="F765" t="s">
        <v>23</v>
      </c>
      <c r="G765" t="s">
        <v>24</v>
      </c>
      <c r="H765" t="s">
        <v>25</v>
      </c>
      <c r="I765" t="s">
        <v>26</v>
      </c>
      <c r="J765" t="s">
        <v>39</v>
      </c>
      <c r="K765" t="s">
        <v>53</v>
      </c>
      <c r="L765" t="s">
        <v>1656</v>
      </c>
      <c r="M765" t="s">
        <v>42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31</v>
      </c>
      <c r="U765" t="s">
        <v>32</v>
      </c>
      <c r="V765">
        <f t="shared" si="45"/>
        <v>16454.88</v>
      </c>
      <c r="W765">
        <f t="shared" si="46"/>
        <v>4373.34</v>
      </c>
      <c r="X765">
        <f t="shared" si="47"/>
        <v>26.577769026574487</v>
      </c>
      <c r="Y765">
        <f t="shared" si="48"/>
        <v>2</v>
      </c>
      <c r="Z765" t="str" cm="1">
        <f t="array" ref="Z765">_xlfn.IFS(Y765&lt;0, "Invalid Date", ISBLANK(G765), "Missing Region", TRUE, "Clean")</f>
        <v>Clean</v>
      </c>
    </row>
    <row r="766" spans="1:26">
      <c r="A766" t="s">
        <v>1657</v>
      </c>
      <c r="B766" s="4">
        <v>45760</v>
      </c>
      <c r="C766" s="6">
        <v>45760</v>
      </c>
      <c r="D766" t="s">
        <v>2682</v>
      </c>
      <c r="E766" t="s">
        <v>100</v>
      </c>
      <c r="F766" t="s">
        <v>81</v>
      </c>
      <c r="G766" t="s">
        <v>50</v>
      </c>
      <c r="H766" t="s">
        <v>155</v>
      </c>
      <c r="I766" t="s">
        <v>156</v>
      </c>
      <c r="J766" t="s">
        <v>39</v>
      </c>
      <c r="K766" t="s">
        <v>134</v>
      </c>
      <c r="L766" t="s">
        <v>1658</v>
      </c>
      <c r="M766" t="s">
        <v>47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31</v>
      </c>
      <c r="U766" t="s">
        <v>32</v>
      </c>
      <c r="V766">
        <f t="shared" si="45"/>
        <v>25159.8</v>
      </c>
      <c r="W766">
        <f t="shared" si="46"/>
        <v>3552.9699999999975</v>
      </c>
      <c r="X766">
        <f t="shared" si="47"/>
        <v>14.121614639226058</v>
      </c>
      <c r="Y766">
        <f t="shared" si="48"/>
        <v>0</v>
      </c>
      <c r="Z766" t="str" cm="1">
        <f t="array" ref="Z766">_xlfn.IFS(Y766&lt;0, "Invalid Date", ISBLANK(G766), "Missing Region", TRUE, "Clean")</f>
        <v>Clean</v>
      </c>
    </row>
    <row r="767" spans="1:26">
      <c r="A767" t="s">
        <v>1659</v>
      </c>
      <c r="B767" s="4">
        <v>45837</v>
      </c>
      <c r="C767" s="6">
        <v>45723</v>
      </c>
      <c r="D767" t="s">
        <v>2683</v>
      </c>
      <c r="E767" t="s">
        <v>65</v>
      </c>
      <c r="F767" t="s">
        <v>81</v>
      </c>
      <c r="G767" t="s">
        <v>36</v>
      </c>
      <c r="H767" t="s">
        <v>186</v>
      </c>
      <c r="I767" t="s">
        <v>187</v>
      </c>
      <c r="J767" t="s">
        <v>27</v>
      </c>
      <c r="K767" t="s">
        <v>82</v>
      </c>
      <c r="L767" t="s">
        <v>1660</v>
      </c>
      <c r="M767" t="s">
        <v>47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31</v>
      </c>
      <c r="U767" t="s">
        <v>32</v>
      </c>
      <c r="V767">
        <f t="shared" si="45"/>
        <v>1824.42</v>
      </c>
      <c r="W767">
        <f t="shared" si="46"/>
        <v>609.55000000000018</v>
      </c>
      <c r="X767">
        <f t="shared" si="47"/>
        <v>33.410618169061955</v>
      </c>
      <c r="Y767">
        <f t="shared" si="48"/>
        <v>-114</v>
      </c>
      <c r="Z767" t="str" cm="1">
        <f t="array" ref="Z767">_xlfn.IFS(Y767&lt;0, "Invalid Date", ISBLANK(G767), "Missing Region", TRUE, "Clean")</f>
        <v>Invalid Date</v>
      </c>
    </row>
    <row r="768" spans="1:26">
      <c r="A768" t="s">
        <v>1661</v>
      </c>
      <c r="B768" s="4">
        <v>45552</v>
      </c>
      <c r="C768" s="6">
        <v>45559</v>
      </c>
      <c r="D768" t="s">
        <v>2684</v>
      </c>
      <c r="E768" t="s">
        <v>34</v>
      </c>
      <c r="F768" t="s">
        <v>81</v>
      </c>
      <c r="G768" t="s">
        <v>58</v>
      </c>
      <c r="H768" t="s">
        <v>151</v>
      </c>
      <c r="I768" t="s">
        <v>152</v>
      </c>
      <c r="J768" t="s">
        <v>27</v>
      </c>
      <c r="K768" t="s">
        <v>45</v>
      </c>
      <c r="L768" t="s">
        <v>1662</v>
      </c>
      <c r="M768" t="s">
        <v>30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31</v>
      </c>
      <c r="U768" t="s">
        <v>63</v>
      </c>
      <c r="V768">
        <f t="shared" si="45"/>
        <v>16617.312000000002</v>
      </c>
      <c r="W768">
        <f t="shared" si="46"/>
        <v>7421.5820000000022</v>
      </c>
      <c r="X768">
        <f t="shared" si="47"/>
        <v>44.661747940942561</v>
      </c>
      <c r="Y768">
        <f t="shared" si="48"/>
        <v>7</v>
      </c>
      <c r="Z768" t="str" cm="1">
        <f t="array" ref="Z768">_xlfn.IFS(Y768&lt;0, "Invalid Date", ISBLANK(G768), "Missing Region", TRUE, "Clean")</f>
        <v>Clean</v>
      </c>
    </row>
    <row r="769" spans="1:26">
      <c r="A769" t="s">
        <v>1663</v>
      </c>
      <c r="B769" s="4">
        <v>45356</v>
      </c>
      <c r="C769" s="6">
        <v>45418</v>
      </c>
      <c r="D769" t="s">
        <v>2685</v>
      </c>
      <c r="E769" t="s">
        <v>57</v>
      </c>
      <c r="F769" t="s">
        <v>85</v>
      </c>
      <c r="G769" t="s">
        <v>24</v>
      </c>
      <c r="H769" t="s">
        <v>117</v>
      </c>
      <c r="I769" t="s">
        <v>118</v>
      </c>
      <c r="J769" t="s">
        <v>446</v>
      </c>
      <c r="K769" t="s">
        <v>130</v>
      </c>
      <c r="L769" t="s">
        <v>1664</v>
      </c>
      <c r="M769" t="s">
        <v>55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31</v>
      </c>
      <c r="U769" t="s">
        <v>32</v>
      </c>
      <c r="V769">
        <f t="shared" si="45"/>
        <v>933.43499999999995</v>
      </c>
      <c r="W769">
        <f t="shared" si="46"/>
        <v>350.34499999999991</v>
      </c>
      <c r="X769">
        <f t="shared" si="47"/>
        <v>37.532875883162717</v>
      </c>
      <c r="Y769">
        <f t="shared" si="48"/>
        <v>62</v>
      </c>
      <c r="Z769" t="str" cm="1">
        <f t="array" ref="Z769">_xlfn.IFS(Y769&lt;0, "Invalid Date", ISBLANK(G769), "Missing Region", TRUE, "Clean")</f>
        <v>Clean</v>
      </c>
    </row>
    <row r="770" spans="1:26">
      <c r="A770" t="s">
        <v>1665</v>
      </c>
      <c r="B770" s="4">
        <v>45692</v>
      </c>
      <c r="C770" s="6">
        <v>45751</v>
      </c>
      <c r="D770" t="s">
        <v>2686</v>
      </c>
      <c r="E770" t="s">
        <v>114</v>
      </c>
      <c r="F770" t="s">
        <v>85</v>
      </c>
      <c r="G770" t="s">
        <v>36</v>
      </c>
      <c r="H770" t="s">
        <v>186</v>
      </c>
      <c r="I770" t="s">
        <v>187</v>
      </c>
      <c r="J770" t="s">
        <v>27</v>
      </c>
      <c r="K770" t="s">
        <v>28</v>
      </c>
      <c r="L770" t="s">
        <v>1666</v>
      </c>
      <c r="M770" t="s">
        <v>42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31</v>
      </c>
      <c r="U770" t="s">
        <v>32</v>
      </c>
      <c r="V770">
        <f t="shared" si="45"/>
        <v>14554.08</v>
      </c>
      <c r="W770">
        <f t="shared" si="46"/>
        <v>3387.24</v>
      </c>
      <c r="X770">
        <f t="shared" si="47"/>
        <v>23.273473830018798</v>
      </c>
      <c r="Y770">
        <f t="shared" si="48"/>
        <v>59</v>
      </c>
      <c r="Z770" t="str" cm="1">
        <f t="array" ref="Z770">_xlfn.IFS(Y770&lt;0, "Invalid Date", ISBLANK(G770), "Missing Region", TRUE, "Clean")</f>
        <v>Clean</v>
      </c>
    </row>
    <row r="771" spans="1:26">
      <c r="A771" t="s">
        <v>1667</v>
      </c>
      <c r="B771" s="4">
        <v>45423</v>
      </c>
      <c r="C771" s="6">
        <v>45425</v>
      </c>
      <c r="D771" t="s">
        <v>2687</v>
      </c>
      <c r="E771" t="s">
        <v>100</v>
      </c>
      <c r="F771" t="s">
        <v>85</v>
      </c>
      <c r="G771" t="s">
        <v>58</v>
      </c>
      <c r="H771" t="s">
        <v>159</v>
      </c>
      <c r="I771" t="s">
        <v>160</v>
      </c>
      <c r="J771" t="s">
        <v>39</v>
      </c>
      <c r="K771" t="s">
        <v>134</v>
      </c>
      <c r="L771" t="s">
        <v>1668</v>
      </c>
      <c r="M771" t="s">
        <v>42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31</v>
      </c>
      <c r="U771" t="s">
        <v>32</v>
      </c>
      <c r="V771">
        <f t="shared" ref="V771:V834" si="49">N771*O771*(1- P771)</f>
        <v>8128.6875</v>
      </c>
      <c r="W771">
        <f t="shared" ref="W771:W834" si="50">V771-R771</f>
        <v>3057.0275000000001</v>
      </c>
      <c r="X771">
        <f t="shared" ref="X771:X834" si="51">W771/V771*100</f>
        <v>37.607885651896453</v>
      </c>
      <c r="Y771">
        <f t="shared" si="48"/>
        <v>2</v>
      </c>
      <c r="Z771" t="str" cm="1">
        <f t="array" ref="Z771">_xlfn.IFS(Y771&lt;0, "Invalid Date", ISBLANK(G771), "Missing Region", TRUE, "Clean")</f>
        <v>Clean</v>
      </c>
    </row>
    <row r="772" spans="1:26">
      <c r="A772" t="s">
        <v>1669</v>
      </c>
      <c r="B772" s="4">
        <v>45337</v>
      </c>
      <c r="C772" s="6">
        <v>45339</v>
      </c>
      <c r="D772" t="s">
        <v>2069</v>
      </c>
      <c r="E772" t="s">
        <v>72</v>
      </c>
      <c r="F772" t="s">
        <v>23</v>
      </c>
      <c r="G772" t="s">
        <v>24</v>
      </c>
      <c r="H772" t="s">
        <v>117</v>
      </c>
      <c r="I772" t="s">
        <v>118</v>
      </c>
      <c r="J772" t="s">
        <v>68</v>
      </c>
      <c r="K772" t="s">
        <v>73</v>
      </c>
      <c r="L772" t="s">
        <v>1670</v>
      </c>
      <c r="M772" t="s">
        <v>47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31</v>
      </c>
      <c r="U772" t="s">
        <v>32</v>
      </c>
      <c r="V772">
        <f t="shared" si="49"/>
        <v>3452</v>
      </c>
      <c r="W772">
        <f t="shared" si="50"/>
        <v>1075.3800000000001</v>
      </c>
      <c r="X772">
        <f t="shared" si="51"/>
        <v>31.152375434530711</v>
      </c>
      <c r="Y772">
        <f t="shared" si="48"/>
        <v>2</v>
      </c>
      <c r="Z772" t="str" cm="1">
        <f t="array" ref="Z772">_xlfn.IFS(Y772&lt;0, "Invalid Date", ISBLANK(G772), "Missing Region", TRUE, "Clean")</f>
        <v>Clean</v>
      </c>
    </row>
    <row r="773" spans="1:26">
      <c r="A773" t="s">
        <v>1671</v>
      </c>
      <c r="B773" s="4">
        <v>45633</v>
      </c>
      <c r="C773" s="6">
        <v>45487</v>
      </c>
      <c r="D773" t="s">
        <v>2688</v>
      </c>
      <c r="E773" t="s">
        <v>57</v>
      </c>
      <c r="F773" t="s">
        <v>23</v>
      </c>
      <c r="G773" t="s">
        <v>24</v>
      </c>
      <c r="H773" t="s">
        <v>192</v>
      </c>
      <c r="I773" t="s">
        <v>193</v>
      </c>
      <c r="J773" t="s">
        <v>68</v>
      </c>
      <c r="K773" t="s">
        <v>219</v>
      </c>
      <c r="L773" t="s">
        <v>1672</v>
      </c>
      <c r="M773" t="s">
        <v>30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31</v>
      </c>
      <c r="U773" t="s">
        <v>32</v>
      </c>
      <c r="V773">
        <f t="shared" si="49"/>
        <v>8525.64</v>
      </c>
      <c r="W773">
        <f t="shared" si="50"/>
        <v>5004.9499999999989</v>
      </c>
      <c r="X773">
        <f t="shared" si="51"/>
        <v>58.70468375394691</v>
      </c>
      <c r="Y773">
        <f t="shared" si="48"/>
        <v>-146</v>
      </c>
      <c r="Z773" t="str" cm="1">
        <f t="array" ref="Z773">_xlfn.IFS(Y773&lt;0, "Invalid Date", ISBLANK(G773), "Missing Region", TRUE, "Clean")</f>
        <v>Invalid Date</v>
      </c>
    </row>
    <row r="774" spans="1:26">
      <c r="A774" t="s">
        <v>1673</v>
      </c>
      <c r="B774" s="4">
        <v>45853</v>
      </c>
      <c r="C774" s="6">
        <v>45857</v>
      </c>
      <c r="D774" t="s">
        <v>2689</v>
      </c>
      <c r="E774" t="s">
        <v>137</v>
      </c>
      <c r="F774" t="s">
        <v>23</v>
      </c>
      <c r="G774" t="s">
        <v>50</v>
      </c>
      <c r="H774" t="s">
        <v>200</v>
      </c>
      <c r="I774" t="s">
        <v>201</v>
      </c>
      <c r="J774" t="s">
        <v>39</v>
      </c>
      <c r="K774" t="s">
        <v>61</v>
      </c>
      <c r="L774" t="s">
        <v>1674</v>
      </c>
      <c r="M774" t="s">
        <v>42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98</v>
      </c>
      <c r="U774" t="s">
        <v>63</v>
      </c>
      <c r="V774">
        <f t="shared" si="49"/>
        <v>3708.0589999999997</v>
      </c>
      <c r="W774">
        <f t="shared" si="50"/>
        <v>947.76899999999978</v>
      </c>
      <c r="X774">
        <f t="shared" si="51"/>
        <v>25.559706574248143</v>
      </c>
      <c r="Y774">
        <f t="shared" si="48"/>
        <v>4</v>
      </c>
      <c r="Z774" t="str" cm="1">
        <f t="array" ref="Z774">_xlfn.IFS(Y774&lt;0, "Invalid Date", ISBLANK(G774), "Missing Region", TRUE, "Clean")</f>
        <v>Clean</v>
      </c>
    </row>
    <row r="775" spans="1:26">
      <c r="A775" t="s">
        <v>1675</v>
      </c>
      <c r="B775" s="4">
        <v>45709</v>
      </c>
      <c r="C775" s="6">
        <v>45709</v>
      </c>
      <c r="D775" t="s">
        <v>2690</v>
      </c>
      <c r="E775" t="s">
        <v>22</v>
      </c>
      <c r="F775" t="s">
        <v>85</v>
      </c>
      <c r="G775" t="s">
        <v>58</v>
      </c>
      <c r="H775" t="s">
        <v>151</v>
      </c>
      <c r="I775" t="s">
        <v>152</v>
      </c>
      <c r="J775" t="s">
        <v>68</v>
      </c>
      <c r="K775" t="s">
        <v>144</v>
      </c>
      <c r="L775" t="s">
        <v>1676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31</v>
      </c>
      <c r="U775" t="s">
        <v>32</v>
      </c>
      <c r="V775">
        <f t="shared" si="49"/>
        <v>9424.2240000000002</v>
      </c>
      <c r="W775">
        <f t="shared" si="50"/>
        <v>3245.3040000000001</v>
      </c>
      <c r="X775">
        <f t="shared" si="51"/>
        <v>34.435768929091672</v>
      </c>
      <c r="Y775">
        <f t="shared" ref="Y775:Y838" si="52">C775-B775</f>
        <v>0</v>
      </c>
      <c r="Z775" t="str" cm="1">
        <f t="array" ref="Z775">_xlfn.IFS(Y775&lt;0, "Invalid Date", ISBLANK(G775), "Missing Region", TRUE, "Clean")</f>
        <v>Clean</v>
      </c>
    </row>
    <row r="776" spans="1:26">
      <c r="A776" t="s">
        <v>1677</v>
      </c>
      <c r="B776" s="4">
        <v>45846</v>
      </c>
      <c r="C776" s="6">
        <v>45846</v>
      </c>
      <c r="D776" t="s">
        <v>2691</v>
      </c>
      <c r="E776" t="s">
        <v>212</v>
      </c>
      <c r="F776" t="s">
        <v>23</v>
      </c>
      <c r="G776" t="s">
        <v>58</v>
      </c>
      <c r="H776" t="s">
        <v>25</v>
      </c>
      <c r="I776" t="s">
        <v>96</v>
      </c>
      <c r="J776" t="s">
        <v>68</v>
      </c>
      <c r="K776" t="s">
        <v>219</v>
      </c>
      <c r="L776" t="s">
        <v>1678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31</v>
      </c>
      <c r="U776" t="s">
        <v>32</v>
      </c>
      <c r="V776">
        <f t="shared" si="49"/>
        <v>7752.6</v>
      </c>
      <c r="W776">
        <f t="shared" si="50"/>
        <v>3063.3</v>
      </c>
      <c r="X776">
        <f t="shared" si="51"/>
        <v>39.513195573098059</v>
      </c>
      <c r="Y776">
        <f t="shared" si="52"/>
        <v>0</v>
      </c>
      <c r="Z776" t="str" cm="1">
        <f t="array" ref="Z776">_xlfn.IFS(Y776&lt;0, "Invalid Date", ISBLANK(G776), "Missing Region", TRUE, "Clean")</f>
        <v>Clean</v>
      </c>
    </row>
    <row r="777" spans="1:26">
      <c r="A777" t="s">
        <v>1679</v>
      </c>
      <c r="B777" s="4">
        <v>45396</v>
      </c>
      <c r="C777" s="6">
        <v>45404</v>
      </c>
      <c r="D777" t="s">
        <v>2692</v>
      </c>
      <c r="E777" t="s">
        <v>49</v>
      </c>
      <c r="F777" t="s">
        <v>23</v>
      </c>
      <c r="G777" t="s">
        <v>24</v>
      </c>
      <c r="H777" t="s">
        <v>192</v>
      </c>
      <c r="I777" t="s">
        <v>193</v>
      </c>
      <c r="J777" t="s">
        <v>68</v>
      </c>
      <c r="K777" t="s">
        <v>69</v>
      </c>
      <c r="L777" t="s">
        <v>1680</v>
      </c>
      <c r="M777" t="s">
        <v>55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31</v>
      </c>
      <c r="U777" t="s">
        <v>32</v>
      </c>
      <c r="V777">
        <f t="shared" si="49"/>
        <v>23736.720000000001</v>
      </c>
      <c r="W777">
        <f t="shared" si="50"/>
        <v>9845.8200000000015</v>
      </c>
      <c r="X777">
        <f t="shared" si="51"/>
        <v>41.479277676106896</v>
      </c>
      <c r="Y777">
        <f t="shared" si="52"/>
        <v>8</v>
      </c>
      <c r="Z777" t="str" cm="1">
        <f t="array" ref="Z777">_xlfn.IFS(Y777&lt;0, "Invalid Date", ISBLANK(G777), "Missing Region", TRUE, "Clean")</f>
        <v>Clean</v>
      </c>
    </row>
    <row r="778" spans="1:26">
      <c r="A778" t="s">
        <v>1681</v>
      </c>
      <c r="B778" s="4">
        <v>45875</v>
      </c>
      <c r="C778" s="6">
        <v>45821</v>
      </c>
      <c r="D778" t="s">
        <v>2693</v>
      </c>
      <c r="E778" t="s">
        <v>80</v>
      </c>
      <c r="F778" t="s">
        <v>35</v>
      </c>
      <c r="G778" t="s">
        <v>24</v>
      </c>
      <c r="H778" t="s">
        <v>25</v>
      </c>
      <c r="I778" t="s">
        <v>26</v>
      </c>
      <c r="J778" t="s">
        <v>68</v>
      </c>
      <c r="K778" t="s">
        <v>73</v>
      </c>
      <c r="L778" t="s">
        <v>1682</v>
      </c>
      <c r="M778" t="s">
        <v>30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31</v>
      </c>
      <c r="U778" t="s">
        <v>32</v>
      </c>
      <c r="V778">
        <f t="shared" si="49"/>
        <v>26999.91</v>
      </c>
      <c r="W778">
        <f t="shared" si="50"/>
        <v>9183.93</v>
      </c>
      <c r="X778">
        <f t="shared" si="51"/>
        <v>34.014668937785345</v>
      </c>
      <c r="Y778">
        <f t="shared" si="52"/>
        <v>-54</v>
      </c>
      <c r="Z778" t="str" cm="1">
        <f t="array" ref="Z778">_xlfn.IFS(Y778&lt;0, "Invalid Date", ISBLANK(G778), "Missing Region", TRUE, "Clean")</f>
        <v>Invalid Date</v>
      </c>
    </row>
    <row r="779" spans="1:26">
      <c r="A779" t="s">
        <v>1683</v>
      </c>
      <c r="B779" s="4">
        <v>45384</v>
      </c>
      <c r="C779" s="6">
        <v>45445</v>
      </c>
      <c r="D779" t="s">
        <v>2694</v>
      </c>
      <c r="E779" t="s">
        <v>212</v>
      </c>
      <c r="F779" t="s">
        <v>35</v>
      </c>
      <c r="G779" t="s">
        <v>58</v>
      </c>
      <c r="H779" t="s">
        <v>66</v>
      </c>
      <c r="I779" t="s">
        <v>67</v>
      </c>
      <c r="J779" t="s">
        <v>68</v>
      </c>
      <c r="K779" t="s">
        <v>69</v>
      </c>
      <c r="L779" t="s">
        <v>1684</v>
      </c>
      <c r="M779" t="s">
        <v>30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132</v>
      </c>
      <c r="U779" t="s">
        <v>63</v>
      </c>
      <c r="V779">
        <f t="shared" si="49"/>
        <v>5065.116</v>
      </c>
      <c r="W779">
        <f t="shared" si="50"/>
        <v>1534.9960000000001</v>
      </c>
      <c r="X779">
        <f t="shared" si="51"/>
        <v>30.305248685321324</v>
      </c>
      <c r="Y779">
        <f t="shared" si="52"/>
        <v>61</v>
      </c>
      <c r="Z779" t="str" cm="1">
        <f t="array" ref="Z779">_xlfn.IFS(Y779&lt;0, "Invalid Date", ISBLANK(G779), "Missing Region", TRUE, "Clean")</f>
        <v>Clean</v>
      </c>
    </row>
    <row r="780" spans="1:26">
      <c r="A780" t="s">
        <v>1685</v>
      </c>
      <c r="B780" s="4">
        <v>45497</v>
      </c>
      <c r="C780" s="6">
        <v>45497</v>
      </c>
      <c r="D780" t="s">
        <v>2695</v>
      </c>
      <c r="E780" t="s">
        <v>22</v>
      </c>
      <c r="F780" t="s">
        <v>35</v>
      </c>
      <c r="G780" t="s">
        <v>24</v>
      </c>
      <c r="H780" t="s">
        <v>192</v>
      </c>
      <c r="I780" t="s">
        <v>193</v>
      </c>
      <c r="J780" t="s">
        <v>68</v>
      </c>
      <c r="K780" t="s">
        <v>73</v>
      </c>
      <c r="L780" t="s">
        <v>1686</v>
      </c>
      <c r="M780" t="s">
        <v>30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31</v>
      </c>
      <c r="U780" t="s">
        <v>32</v>
      </c>
      <c r="V780">
        <f t="shared" si="49"/>
        <v>6707.52</v>
      </c>
      <c r="W780">
        <f t="shared" si="50"/>
        <v>1034.9500000000007</v>
      </c>
      <c r="X780">
        <f t="shared" si="51"/>
        <v>15.429696817899918</v>
      </c>
      <c r="Y780">
        <f t="shared" si="52"/>
        <v>0</v>
      </c>
      <c r="Z780" t="str" cm="1">
        <f t="array" ref="Z780">_xlfn.IFS(Y780&lt;0, "Invalid Date", ISBLANK(G780), "Missing Region", TRUE, "Clean")</f>
        <v>Clean</v>
      </c>
    </row>
    <row r="781" spans="1:26">
      <c r="A781" t="s">
        <v>1687</v>
      </c>
      <c r="B781" s="4">
        <v>45306</v>
      </c>
      <c r="C781" s="6">
        <v>45311</v>
      </c>
      <c r="D781" t="s">
        <v>2696</v>
      </c>
      <c r="E781" t="s">
        <v>100</v>
      </c>
      <c r="F781" t="s">
        <v>35</v>
      </c>
      <c r="G781" t="s">
        <v>50</v>
      </c>
      <c r="H781" t="s">
        <v>76</v>
      </c>
      <c r="I781" t="s">
        <v>77</v>
      </c>
      <c r="J781" t="s">
        <v>39</v>
      </c>
      <c r="K781" t="s">
        <v>61</v>
      </c>
      <c r="L781" t="s">
        <v>1688</v>
      </c>
      <c r="M781" t="s">
        <v>55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31</v>
      </c>
      <c r="U781" t="s">
        <v>32</v>
      </c>
      <c r="V781">
        <f t="shared" si="49"/>
        <v>11983.451999999999</v>
      </c>
      <c r="W781">
        <f t="shared" si="50"/>
        <v>3410.5519999999997</v>
      </c>
      <c r="X781">
        <f t="shared" si="51"/>
        <v>28.46051371507976</v>
      </c>
      <c r="Y781">
        <f t="shared" si="52"/>
        <v>5</v>
      </c>
      <c r="Z781" t="str" cm="1">
        <f t="array" ref="Z781">_xlfn.IFS(Y781&lt;0, "Invalid Date", ISBLANK(G781), "Missing Region", TRUE, "Clean")</f>
        <v>Clean</v>
      </c>
    </row>
    <row r="782" spans="1:26">
      <c r="A782" t="s">
        <v>1689</v>
      </c>
      <c r="B782" s="4">
        <v>45390</v>
      </c>
      <c r="C782" s="6">
        <v>45514</v>
      </c>
      <c r="D782" t="s">
        <v>2697</v>
      </c>
      <c r="E782" t="s">
        <v>137</v>
      </c>
      <c r="F782" t="s">
        <v>35</v>
      </c>
      <c r="G782" t="s">
        <v>58</v>
      </c>
      <c r="H782" t="s">
        <v>25</v>
      </c>
      <c r="I782" t="s">
        <v>96</v>
      </c>
      <c r="J782" t="s">
        <v>39</v>
      </c>
      <c r="K782" t="s">
        <v>61</v>
      </c>
      <c r="L782" t="s">
        <v>1690</v>
      </c>
      <c r="M782" t="s">
        <v>42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31</v>
      </c>
      <c r="U782" t="s">
        <v>32</v>
      </c>
      <c r="V782">
        <f t="shared" si="49"/>
        <v>1364.576</v>
      </c>
      <c r="W782">
        <f t="shared" si="50"/>
        <v>386.41600000000005</v>
      </c>
      <c r="X782">
        <f t="shared" si="51"/>
        <v>28.317660577351507</v>
      </c>
      <c r="Y782">
        <f t="shared" si="52"/>
        <v>124</v>
      </c>
      <c r="Z782" t="str" cm="1">
        <f t="array" ref="Z782">_xlfn.IFS(Y782&lt;0, "Invalid Date", ISBLANK(G782), "Missing Region", TRUE, "Clean")</f>
        <v>Clean</v>
      </c>
    </row>
    <row r="783" spans="1:26">
      <c r="A783" t="s">
        <v>1691</v>
      </c>
      <c r="B783" s="4">
        <v>45324</v>
      </c>
      <c r="C783" s="6">
        <v>45567</v>
      </c>
      <c r="D783" t="s">
        <v>2698</v>
      </c>
      <c r="E783" t="s">
        <v>22</v>
      </c>
      <c r="F783" t="s">
        <v>85</v>
      </c>
      <c r="G783" t="s">
        <v>58</v>
      </c>
      <c r="H783" t="s">
        <v>25</v>
      </c>
      <c r="I783" t="s">
        <v>96</v>
      </c>
      <c r="J783" t="s">
        <v>27</v>
      </c>
      <c r="K783" t="s">
        <v>82</v>
      </c>
      <c r="L783" t="s">
        <v>1692</v>
      </c>
      <c r="M783" t="s">
        <v>47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98</v>
      </c>
      <c r="U783" t="s">
        <v>92</v>
      </c>
      <c r="V783">
        <f t="shared" si="49"/>
        <v>862.64999999999986</v>
      </c>
      <c r="W783">
        <f t="shared" si="50"/>
        <v>258.91999999999985</v>
      </c>
      <c r="X783">
        <f t="shared" si="51"/>
        <v>30.014490233582553</v>
      </c>
      <c r="Y783">
        <f t="shared" si="52"/>
        <v>243</v>
      </c>
      <c r="Z783" t="str" cm="1">
        <f t="array" ref="Z783">_xlfn.IFS(Y783&lt;0, "Invalid Date", ISBLANK(G783), "Missing Region", TRUE, "Clean")</f>
        <v>Clean</v>
      </c>
    </row>
    <row r="784" spans="1:26">
      <c r="A784" t="s">
        <v>1693</v>
      </c>
      <c r="B784" s="4">
        <v>45730</v>
      </c>
      <c r="C784" s="6">
        <v>45738</v>
      </c>
      <c r="D784" t="s">
        <v>2699</v>
      </c>
      <c r="E784" t="s">
        <v>34</v>
      </c>
      <c r="F784" t="s">
        <v>81</v>
      </c>
      <c r="G784" t="s">
        <v>36</v>
      </c>
      <c r="H784" t="s">
        <v>88</v>
      </c>
      <c r="I784" t="s">
        <v>89</v>
      </c>
      <c r="J784" t="s">
        <v>68</v>
      </c>
      <c r="K784" t="s">
        <v>73</v>
      </c>
      <c r="L784" t="s">
        <v>1694</v>
      </c>
      <c r="M784" t="s">
        <v>55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31</v>
      </c>
      <c r="U784" t="s">
        <v>32</v>
      </c>
      <c r="V784">
        <f t="shared" si="49"/>
        <v>1138.3709999999999</v>
      </c>
      <c r="W784">
        <f t="shared" si="50"/>
        <v>341.03099999999984</v>
      </c>
      <c r="X784">
        <f t="shared" si="51"/>
        <v>29.957808131092577</v>
      </c>
      <c r="Y784">
        <f t="shared" si="52"/>
        <v>8</v>
      </c>
      <c r="Z784" t="str" cm="1">
        <f t="array" ref="Z784">_xlfn.IFS(Y784&lt;0, "Invalid Date", ISBLANK(G784), "Missing Region", TRUE, "Clean")</f>
        <v>Clean</v>
      </c>
    </row>
    <row r="785" spans="1:26">
      <c r="A785" t="s">
        <v>1695</v>
      </c>
      <c r="B785" s="4">
        <v>45479</v>
      </c>
      <c r="C785" s="6">
        <v>45479</v>
      </c>
      <c r="D785" t="s">
        <v>2700</v>
      </c>
      <c r="E785" t="s">
        <v>111</v>
      </c>
      <c r="F785" t="s">
        <v>35</v>
      </c>
      <c r="G785" t="s">
        <v>36</v>
      </c>
      <c r="H785" t="s">
        <v>124</v>
      </c>
      <c r="I785" t="s">
        <v>125</v>
      </c>
      <c r="J785" t="s">
        <v>27</v>
      </c>
      <c r="K785" t="s">
        <v>45</v>
      </c>
      <c r="L785" t="s">
        <v>1696</v>
      </c>
      <c r="M785" t="s">
        <v>30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31</v>
      </c>
      <c r="U785" t="s">
        <v>32</v>
      </c>
      <c r="V785">
        <f t="shared" si="49"/>
        <v>2452.8334999999997</v>
      </c>
      <c r="W785">
        <f t="shared" si="50"/>
        <v>546.13349999999969</v>
      </c>
      <c r="X785">
        <f t="shared" si="51"/>
        <v>22.265412634000626</v>
      </c>
      <c r="Y785">
        <f t="shared" si="52"/>
        <v>0</v>
      </c>
      <c r="Z785" t="str" cm="1">
        <f t="array" ref="Z785">_xlfn.IFS(Y785&lt;0, "Invalid Date", ISBLANK(G785), "Missing Region", TRUE, "Clean")</f>
        <v>Clean</v>
      </c>
    </row>
    <row r="786" spans="1:26">
      <c r="A786" t="s">
        <v>1697</v>
      </c>
      <c r="B786" s="4">
        <v>45934</v>
      </c>
      <c r="C786" s="6">
        <v>45787</v>
      </c>
      <c r="D786" t="s">
        <v>2701</v>
      </c>
      <c r="E786" t="s">
        <v>100</v>
      </c>
      <c r="F786" t="s">
        <v>81</v>
      </c>
      <c r="G786" t="s">
        <v>24</v>
      </c>
      <c r="H786" t="s">
        <v>106</v>
      </c>
      <c r="I786" t="s">
        <v>107</v>
      </c>
      <c r="J786" t="s">
        <v>68</v>
      </c>
      <c r="K786" t="s">
        <v>73</v>
      </c>
      <c r="L786" t="s">
        <v>1698</v>
      </c>
      <c r="M786" t="s">
        <v>47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31</v>
      </c>
      <c r="U786" t="s">
        <v>32</v>
      </c>
      <c r="V786">
        <f t="shared" si="49"/>
        <v>1589.0840000000001</v>
      </c>
      <c r="W786">
        <f t="shared" si="50"/>
        <v>504.42399999999998</v>
      </c>
      <c r="X786">
        <f t="shared" si="51"/>
        <v>31.743067075120003</v>
      </c>
      <c r="Y786">
        <f t="shared" si="52"/>
        <v>-147</v>
      </c>
      <c r="Z786" t="str" cm="1">
        <f t="array" ref="Z786">_xlfn.IFS(Y786&lt;0, "Invalid Date", ISBLANK(G786), "Missing Region", TRUE, "Clean")</f>
        <v>Invalid Date</v>
      </c>
    </row>
    <row r="787" spans="1:26">
      <c r="A787" t="s">
        <v>1699</v>
      </c>
      <c r="B787" s="4">
        <v>45435</v>
      </c>
      <c r="C787" s="6">
        <v>45441</v>
      </c>
      <c r="D787" t="s">
        <v>2702</v>
      </c>
      <c r="E787" t="s">
        <v>137</v>
      </c>
      <c r="F787" t="s">
        <v>35</v>
      </c>
      <c r="G787" t="s">
        <v>24</v>
      </c>
      <c r="H787" t="s">
        <v>192</v>
      </c>
      <c r="I787" t="s">
        <v>193</v>
      </c>
      <c r="J787" t="s">
        <v>27</v>
      </c>
      <c r="K787" t="s">
        <v>108</v>
      </c>
      <c r="L787" t="s">
        <v>1700</v>
      </c>
      <c r="M787" t="s">
        <v>42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132</v>
      </c>
      <c r="U787" t="s">
        <v>63</v>
      </c>
      <c r="V787">
        <f t="shared" si="49"/>
        <v>4519.41</v>
      </c>
      <c r="W787">
        <f t="shared" si="50"/>
        <v>1015.25</v>
      </c>
      <c r="X787">
        <f t="shared" si="51"/>
        <v>22.464215461752751</v>
      </c>
      <c r="Y787">
        <f t="shared" si="52"/>
        <v>6</v>
      </c>
      <c r="Z787" t="str" cm="1">
        <f t="array" ref="Z787">_xlfn.IFS(Y787&lt;0, "Invalid Date", ISBLANK(G787), "Missing Region", TRUE, "Clean")</f>
        <v>Clean</v>
      </c>
    </row>
    <row r="788" spans="1:26">
      <c r="A788" t="s">
        <v>1701</v>
      </c>
      <c r="B788" s="4">
        <v>45844</v>
      </c>
      <c r="C788" s="6">
        <v>45876</v>
      </c>
      <c r="D788" t="s">
        <v>2703</v>
      </c>
      <c r="E788" t="s">
        <v>57</v>
      </c>
      <c r="F788" t="s">
        <v>81</v>
      </c>
      <c r="G788" t="s">
        <v>24</v>
      </c>
      <c r="H788" t="s">
        <v>25</v>
      </c>
      <c r="I788" t="s">
        <v>26</v>
      </c>
      <c r="J788" t="s">
        <v>39</v>
      </c>
      <c r="K788" t="s">
        <v>53</v>
      </c>
      <c r="L788" t="s">
        <v>1702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91</v>
      </c>
      <c r="U788" t="s">
        <v>92</v>
      </c>
      <c r="V788">
        <f t="shared" si="49"/>
        <v>2718.71</v>
      </c>
      <c r="W788">
        <f t="shared" si="50"/>
        <v>653.65999999999985</v>
      </c>
      <c r="X788">
        <f t="shared" si="51"/>
        <v>24.043020403058797</v>
      </c>
      <c r="Y788">
        <f t="shared" si="52"/>
        <v>32</v>
      </c>
      <c r="Z788" t="str" cm="1">
        <f t="array" ref="Z788">_xlfn.IFS(Y788&lt;0, "Invalid Date", ISBLANK(G788), "Missing Region", TRUE, "Clean")</f>
        <v>Clean</v>
      </c>
    </row>
    <row r="789" spans="1:26">
      <c r="A789" t="s">
        <v>1703</v>
      </c>
      <c r="B789" s="4">
        <v>45635</v>
      </c>
      <c r="C789" s="6">
        <v>45553</v>
      </c>
      <c r="D789" t="s">
        <v>2704</v>
      </c>
      <c r="E789" t="s">
        <v>57</v>
      </c>
      <c r="F789" t="s">
        <v>85</v>
      </c>
      <c r="G789" t="s">
        <v>36</v>
      </c>
      <c r="H789" t="s">
        <v>124</v>
      </c>
      <c r="I789" t="s">
        <v>125</v>
      </c>
      <c r="J789" t="s">
        <v>27</v>
      </c>
      <c r="K789" t="s">
        <v>28</v>
      </c>
      <c r="L789" t="s">
        <v>1704</v>
      </c>
      <c r="M789" t="s">
        <v>30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31</v>
      </c>
      <c r="U789" t="s">
        <v>32</v>
      </c>
      <c r="V789">
        <f t="shared" si="49"/>
        <v>7065.6629999999996</v>
      </c>
      <c r="W789">
        <f t="shared" si="50"/>
        <v>2150.3929999999991</v>
      </c>
      <c r="X789">
        <f t="shared" si="51"/>
        <v>30.434412170521004</v>
      </c>
      <c r="Y789">
        <f t="shared" si="52"/>
        <v>-82</v>
      </c>
      <c r="Z789" t="str" cm="1">
        <f t="array" ref="Z789">_xlfn.IFS(Y789&lt;0, "Invalid Date", ISBLANK(G789), "Missing Region", TRUE, "Clean")</f>
        <v>Invalid Date</v>
      </c>
    </row>
    <row r="790" spans="1:26">
      <c r="A790" t="s">
        <v>1705</v>
      </c>
      <c r="B790" s="4">
        <v>45299</v>
      </c>
      <c r="C790" s="6">
        <v>45330</v>
      </c>
      <c r="D790" t="s">
        <v>2705</v>
      </c>
      <c r="E790" t="s">
        <v>44</v>
      </c>
      <c r="F790" t="s">
        <v>81</v>
      </c>
      <c r="G790" t="s">
        <v>24</v>
      </c>
      <c r="H790" t="s">
        <v>117</v>
      </c>
      <c r="I790" t="s">
        <v>118</v>
      </c>
      <c r="J790" t="s">
        <v>39</v>
      </c>
      <c r="K790" t="s">
        <v>61</v>
      </c>
      <c r="L790" t="s">
        <v>1706</v>
      </c>
      <c r="M790" t="s">
        <v>55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132</v>
      </c>
      <c r="U790" t="s">
        <v>92</v>
      </c>
      <c r="V790">
        <f t="shared" si="49"/>
        <v>17911.007999999998</v>
      </c>
      <c r="W790">
        <f t="shared" si="50"/>
        <v>6364.9579999999987</v>
      </c>
      <c r="X790">
        <f t="shared" si="51"/>
        <v>35.536570582738833</v>
      </c>
      <c r="Y790">
        <f t="shared" si="52"/>
        <v>31</v>
      </c>
      <c r="Z790" t="str" cm="1">
        <f t="array" ref="Z790">_xlfn.IFS(Y790&lt;0, "Invalid Date", ISBLANK(G790), "Missing Region", TRUE, "Clean")</f>
        <v>Clean</v>
      </c>
    </row>
    <row r="791" spans="1:26">
      <c r="A791" t="s">
        <v>1707</v>
      </c>
      <c r="B791" s="4">
        <v>45841</v>
      </c>
      <c r="C791" s="6">
        <v>45872</v>
      </c>
      <c r="D791" t="s">
        <v>2706</v>
      </c>
      <c r="E791" t="s">
        <v>100</v>
      </c>
      <c r="F791" t="s">
        <v>85</v>
      </c>
      <c r="G791" t="s">
        <v>2806</v>
      </c>
      <c r="H791" t="s">
        <v>25</v>
      </c>
      <c r="I791" t="s">
        <v>96</v>
      </c>
      <c r="J791" t="s">
        <v>68</v>
      </c>
      <c r="K791" t="s">
        <v>73</v>
      </c>
      <c r="L791" t="s">
        <v>1708</v>
      </c>
      <c r="M791" t="s">
        <v>42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31</v>
      </c>
      <c r="U791" t="s">
        <v>32</v>
      </c>
      <c r="V791">
        <f t="shared" si="49"/>
        <v>14149.92</v>
      </c>
      <c r="W791">
        <f t="shared" si="50"/>
        <v>4683.41</v>
      </c>
      <c r="X791">
        <f t="shared" si="51"/>
        <v>33.098491016203624</v>
      </c>
      <c r="Y791">
        <f t="shared" si="52"/>
        <v>31</v>
      </c>
      <c r="Z791" t="str" cm="1">
        <f t="array" ref="Z791">_xlfn.IFS(Y791&lt;0, "Invalid Date", ISBLANK(G791), "Missing Region", TRUE, "Clean")</f>
        <v>Clean</v>
      </c>
    </row>
    <row r="792" spans="1:26">
      <c r="A792" t="s">
        <v>1709</v>
      </c>
      <c r="B792" s="4">
        <v>45443</v>
      </c>
      <c r="C792" s="6">
        <v>45328</v>
      </c>
      <c r="D792" t="s">
        <v>2707</v>
      </c>
      <c r="E792" t="s">
        <v>103</v>
      </c>
      <c r="F792" t="s">
        <v>81</v>
      </c>
      <c r="G792" t="s">
        <v>50</v>
      </c>
      <c r="H792" t="s">
        <v>76</v>
      </c>
      <c r="I792" t="s">
        <v>77</v>
      </c>
      <c r="J792" t="s">
        <v>27</v>
      </c>
      <c r="K792" t="s">
        <v>45</v>
      </c>
      <c r="L792" t="s">
        <v>1710</v>
      </c>
      <c r="M792" t="s">
        <v>55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31</v>
      </c>
      <c r="U792" t="s">
        <v>32</v>
      </c>
      <c r="V792">
        <f t="shared" si="49"/>
        <v>4272.576</v>
      </c>
      <c r="W792">
        <f t="shared" si="50"/>
        <v>943.65599999999995</v>
      </c>
      <c r="X792">
        <f t="shared" si="51"/>
        <v>22.086347908147214</v>
      </c>
      <c r="Y792">
        <f t="shared" si="52"/>
        <v>-115</v>
      </c>
      <c r="Z792" t="str" cm="1">
        <f t="array" ref="Z792">_xlfn.IFS(Y792&lt;0, "Invalid Date", ISBLANK(G792), "Missing Region", TRUE, "Clean")</f>
        <v>Invalid Date</v>
      </c>
    </row>
    <row r="793" spans="1:26">
      <c r="A793" t="s">
        <v>1711</v>
      </c>
      <c r="B793" s="4">
        <v>45332</v>
      </c>
      <c r="C793" s="6">
        <v>45453</v>
      </c>
      <c r="D793" t="s">
        <v>2708</v>
      </c>
      <c r="E793" t="s">
        <v>103</v>
      </c>
      <c r="F793" t="s">
        <v>85</v>
      </c>
      <c r="G793" t="s">
        <v>50</v>
      </c>
      <c r="H793" t="s">
        <v>147</v>
      </c>
      <c r="I793" t="s">
        <v>148</v>
      </c>
      <c r="J793" t="s">
        <v>39</v>
      </c>
      <c r="K793" t="s">
        <v>134</v>
      </c>
      <c r="L793" t="s">
        <v>1712</v>
      </c>
      <c r="M793" t="s">
        <v>42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31</v>
      </c>
      <c r="U793" t="s">
        <v>32</v>
      </c>
      <c r="V793">
        <f t="shared" si="49"/>
        <v>9352.619999999999</v>
      </c>
      <c r="W793">
        <f t="shared" si="50"/>
        <v>4083.2099999999991</v>
      </c>
      <c r="X793">
        <f t="shared" si="51"/>
        <v>43.658461479243243</v>
      </c>
      <c r="Y793">
        <f t="shared" si="52"/>
        <v>121</v>
      </c>
      <c r="Z793" t="str" cm="1">
        <f t="array" ref="Z793">_xlfn.IFS(Y793&lt;0, "Invalid Date", ISBLANK(G793), "Missing Region", TRUE, "Clean")</f>
        <v>Clean</v>
      </c>
    </row>
    <row r="794" spans="1:26">
      <c r="A794" t="s">
        <v>1713</v>
      </c>
      <c r="B794" s="4">
        <v>45753</v>
      </c>
      <c r="C794" s="6">
        <v>45875</v>
      </c>
      <c r="D794" t="s">
        <v>2709</v>
      </c>
      <c r="E794" t="s">
        <v>49</v>
      </c>
      <c r="F794" t="s">
        <v>35</v>
      </c>
      <c r="G794" t="s">
        <v>36</v>
      </c>
      <c r="H794" t="s">
        <v>140</v>
      </c>
      <c r="I794" t="s">
        <v>141</v>
      </c>
      <c r="J794" t="s">
        <v>39</v>
      </c>
      <c r="K794" t="s">
        <v>53</v>
      </c>
      <c r="L794" t="s">
        <v>1714</v>
      </c>
      <c r="M794" t="s">
        <v>30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31</v>
      </c>
      <c r="U794" t="s">
        <v>92</v>
      </c>
      <c r="V794">
        <f t="shared" si="49"/>
        <v>2800.8960000000002</v>
      </c>
      <c r="W794">
        <f t="shared" si="50"/>
        <v>1064.9160000000002</v>
      </c>
      <c r="X794">
        <f t="shared" si="51"/>
        <v>38.020547710446948</v>
      </c>
      <c r="Y794">
        <f t="shared" si="52"/>
        <v>122</v>
      </c>
      <c r="Z794" t="str" cm="1">
        <f t="array" ref="Z794">_xlfn.IFS(Y794&lt;0, "Invalid Date", ISBLANK(G794), "Missing Region", TRUE, "Clean")</f>
        <v>Clean</v>
      </c>
    </row>
    <row r="795" spans="1:26">
      <c r="A795" t="s">
        <v>1715</v>
      </c>
      <c r="B795" s="4">
        <v>45440</v>
      </c>
      <c r="C795" s="6">
        <v>45357</v>
      </c>
      <c r="D795" t="s">
        <v>2710</v>
      </c>
      <c r="E795" t="s">
        <v>65</v>
      </c>
      <c r="F795" t="s">
        <v>81</v>
      </c>
      <c r="G795" t="s">
        <v>24</v>
      </c>
      <c r="H795" t="s">
        <v>25</v>
      </c>
      <c r="I795" t="s">
        <v>26</v>
      </c>
      <c r="J795" t="s">
        <v>68</v>
      </c>
      <c r="K795" t="s">
        <v>73</v>
      </c>
      <c r="L795" t="s">
        <v>1716</v>
      </c>
      <c r="M795" t="s">
        <v>30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31</v>
      </c>
      <c r="U795" t="s">
        <v>32</v>
      </c>
      <c r="V795">
        <f t="shared" si="49"/>
        <v>21511.599999999999</v>
      </c>
      <c r="W795">
        <f t="shared" si="50"/>
        <v>6103.1299999999992</v>
      </c>
      <c r="X795">
        <f t="shared" si="51"/>
        <v>28.371343833094702</v>
      </c>
      <c r="Y795">
        <f t="shared" si="52"/>
        <v>-83</v>
      </c>
      <c r="Z795" t="str" cm="1">
        <f t="array" ref="Z795">_xlfn.IFS(Y795&lt;0, "Invalid Date", ISBLANK(G795), "Missing Region", TRUE, "Clean")</f>
        <v>Invalid Date</v>
      </c>
    </row>
    <row r="796" spans="1:26">
      <c r="A796" t="s">
        <v>1717</v>
      </c>
      <c r="B796" s="4">
        <v>45830</v>
      </c>
      <c r="C796" s="6">
        <v>45832</v>
      </c>
      <c r="D796" t="s">
        <v>2711</v>
      </c>
      <c r="E796" t="s">
        <v>114</v>
      </c>
      <c r="F796" t="s">
        <v>81</v>
      </c>
      <c r="G796" t="s">
        <v>36</v>
      </c>
      <c r="H796" t="s">
        <v>140</v>
      </c>
      <c r="I796" t="s">
        <v>141</v>
      </c>
      <c r="J796" t="s">
        <v>27</v>
      </c>
      <c r="K796" t="s">
        <v>28</v>
      </c>
      <c r="L796" t="s">
        <v>1718</v>
      </c>
      <c r="M796" t="s">
        <v>55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31</v>
      </c>
      <c r="U796" t="s">
        <v>32</v>
      </c>
      <c r="V796">
        <f t="shared" si="49"/>
        <v>7279.3574999999992</v>
      </c>
      <c r="W796">
        <f t="shared" si="50"/>
        <v>2408.9674999999988</v>
      </c>
      <c r="X796">
        <f t="shared" si="51"/>
        <v>33.093133562955238</v>
      </c>
      <c r="Y796">
        <f t="shared" si="52"/>
        <v>2</v>
      </c>
      <c r="Z796" t="str" cm="1">
        <f t="array" ref="Z796">_xlfn.IFS(Y796&lt;0, "Invalid Date", ISBLANK(G796), "Missing Region", TRUE, "Clean")</f>
        <v>Clean</v>
      </c>
    </row>
    <row r="797" spans="1:26">
      <c r="A797" t="s">
        <v>1719</v>
      </c>
      <c r="B797" s="4">
        <v>45503</v>
      </c>
      <c r="C797" s="6">
        <v>45503</v>
      </c>
      <c r="D797" t="s">
        <v>2712</v>
      </c>
      <c r="E797" t="s">
        <v>137</v>
      </c>
      <c r="F797" t="s">
        <v>85</v>
      </c>
      <c r="G797" t="s">
        <v>36</v>
      </c>
      <c r="H797" t="s">
        <v>37</v>
      </c>
      <c r="I797" t="s">
        <v>38</v>
      </c>
      <c r="J797" t="s">
        <v>68</v>
      </c>
      <c r="K797" t="s">
        <v>73</v>
      </c>
      <c r="L797" t="s">
        <v>1720</v>
      </c>
      <c r="M797" t="s">
        <v>42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91</v>
      </c>
      <c r="U797" t="s">
        <v>63</v>
      </c>
      <c r="V797">
        <f t="shared" si="49"/>
        <v>26051.94</v>
      </c>
      <c r="W797">
        <f t="shared" si="50"/>
        <v>9168.3499999999985</v>
      </c>
      <c r="X797">
        <f t="shared" si="51"/>
        <v>35.192580667696909</v>
      </c>
      <c r="Y797">
        <f t="shared" si="52"/>
        <v>0</v>
      </c>
      <c r="Z797" t="str" cm="1">
        <f t="array" ref="Z797">_xlfn.IFS(Y797&lt;0, "Invalid Date", ISBLANK(G797), "Missing Region", TRUE, "Clean")</f>
        <v>Clean</v>
      </c>
    </row>
    <row r="798" spans="1:26">
      <c r="A798" t="s">
        <v>1721</v>
      </c>
      <c r="B798" s="4">
        <v>45374</v>
      </c>
      <c r="C798" s="6">
        <v>45381</v>
      </c>
      <c r="D798" t="s">
        <v>2713</v>
      </c>
      <c r="E798" t="s">
        <v>121</v>
      </c>
      <c r="F798" t="s">
        <v>35</v>
      </c>
      <c r="G798" t="s">
        <v>50</v>
      </c>
      <c r="H798" t="s">
        <v>76</v>
      </c>
      <c r="I798" t="s">
        <v>77</v>
      </c>
      <c r="J798" t="s">
        <v>68</v>
      </c>
      <c r="K798" t="s">
        <v>219</v>
      </c>
      <c r="L798" t="s">
        <v>1722</v>
      </c>
      <c r="M798" t="s">
        <v>47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31</v>
      </c>
      <c r="U798" t="s">
        <v>32</v>
      </c>
      <c r="V798">
        <f t="shared" si="49"/>
        <v>9661.6439999999984</v>
      </c>
      <c r="W798">
        <f t="shared" si="50"/>
        <v>3357.873999999998</v>
      </c>
      <c r="X798">
        <f t="shared" si="51"/>
        <v>34.754685641491221</v>
      </c>
      <c r="Y798">
        <f t="shared" si="52"/>
        <v>7</v>
      </c>
      <c r="Z798" t="str" cm="1">
        <f t="array" ref="Z798">_xlfn.IFS(Y798&lt;0, "Invalid Date", ISBLANK(G798), "Missing Region", TRUE, "Clean")</f>
        <v>Clean</v>
      </c>
    </row>
    <row r="799" spans="1:26">
      <c r="A799" t="s">
        <v>1723</v>
      </c>
      <c r="B799" s="4">
        <v>45400</v>
      </c>
      <c r="C799" s="6">
        <v>45404</v>
      </c>
      <c r="D799" t="s">
        <v>2714</v>
      </c>
      <c r="E799" t="s">
        <v>111</v>
      </c>
      <c r="F799" t="s">
        <v>23</v>
      </c>
      <c r="G799" t="s">
        <v>36</v>
      </c>
      <c r="H799" t="s">
        <v>37</v>
      </c>
      <c r="I799" t="s">
        <v>38</v>
      </c>
      <c r="J799" t="s">
        <v>27</v>
      </c>
      <c r="K799" t="s">
        <v>130</v>
      </c>
      <c r="L799" t="s">
        <v>1724</v>
      </c>
      <c r="M799" t="s">
        <v>47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132</v>
      </c>
      <c r="U799" t="s">
        <v>63</v>
      </c>
      <c r="V799">
        <f t="shared" si="49"/>
        <v>13714.96</v>
      </c>
      <c r="W799">
        <f t="shared" si="50"/>
        <v>3164.49</v>
      </c>
      <c r="X799">
        <f t="shared" si="51"/>
        <v>23.073271814135804</v>
      </c>
      <c r="Y799">
        <f t="shared" si="52"/>
        <v>4</v>
      </c>
      <c r="Z799" t="str" cm="1">
        <f t="array" ref="Z799">_xlfn.IFS(Y799&lt;0, "Invalid Date", ISBLANK(G799), "Missing Region", TRUE, "Clean")</f>
        <v>Clean</v>
      </c>
    </row>
    <row r="800" spans="1:26">
      <c r="A800" t="s">
        <v>1725</v>
      </c>
      <c r="B800" s="4">
        <v>45968</v>
      </c>
      <c r="C800" s="6">
        <v>45907</v>
      </c>
      <c r="D800" t="s">
        <v>2715</v>
      </c>
      <c r="E800" t="s">
        <v>80</v>
      </c>
      <c r="F800" t="s">
        <v>81</v>
      </c>
      <c r="G800" t="s">
        <v>24</v>
      </c>
      <c r="H800" t="s">
        <v>270</v>
      </c>
      <c r="I800" t="s">
        <v>271</v>
      </c>
      <c r="J800" t="s">
        <v>39</v>
      </c>
      <c r="K800" t="s">
        <v>53</v>
      </c>
      <c r="L800" t="s">
        <v>1726</v>
      </c>
      <c r="M800" t="s">
        <v>55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31</v>
      </c>
      <c r="U800" t="s">
        <v>32</v>
      </c>
      <c r="V800">
        <f t="shared" si="49"/>
        <v>15354.449999999999</v>
      </c>
      <c r="W800">
        <f t="shared" si="50"/>
        <v>5697.9499999999989</v>
      </c>
      <c r="X800">
        <f t="shared" si="51"/>
        <v>37.109437329243313</v>
      </c>
      <c r="Y800">
        <f t="shared" si="52"/>
        <v>-61</v>
      </c>
      <c r="Z800" t="str" cm="1">
        <f t="array" ref="Z800">_xlfn.IFS(Y800&lt;0, "Invalid Date", ISBLANK(G800), "Missing Region", TRUE, "Clean")</f>
        <v>Invalid Date</v>
      </c>
    </row>
    <row r="801" spans="1:26">
      <c r="A801" t="s">
        <v>1727</v>
      </c>
      <c r="B801" s="4">
        <v>45575</v>
      </c>
      <c r="C801" s="6">
        <v>45582</v>
      </c>
      <c r="D801" t="s">
        <v>2716</v>
      </c>
      <c r="E801" t="s">
        <v>44</v>
      </c>
      <c r="F801" t="s">
        <v>85</v>
      </c>
      <c r="G801" t="s">
        <v>24</v>
      </c>
      <c r="H801" t="s">
        <v>192</v>
      </c>
      <c r="I801" t="s">
        <v>193</v>
      </c>
      <c r="J801" t="s">
        <v>68</v>
      </c>
      <c r="K801" t="s">
        <v>69</v>
      </c>
      <c r="L801" t="s">
        <v>1728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31</v>
      </c>
      <c r="U801" t="s">
        <v>92</v>
      </c>
      <c r="V801">
        <f t="shared" si="49"/>
        <v>4595.1975000000002</v>
      </c>
      <c r="W801">
        <f t="shared" si="50"/>
        <v>707.78750000000036</v>
      </c>
      <c r="X801">
        <f t="shared" si="51"/>
        <v>15.402765604742786</v>
      </c>
      <c r="Y801">
        <f t="shared" si="52"/>
        <v>7</v>
      </c>
      <c r="Z801" t="str" cm="1">
        <f t="array" ref="Z801">_xlfn.IFS(Y801&lt;0, "Invalid Date", ISBLANK(G801), "Missing Region", TRUE, "Clean")</f>
        <v>Clean</v>
      </c>
    </row>
    <row r="802" spans="1:26">
      <c r="A802" t="s">
        <v>1729</v>
      </c>
      <c r="B802" s="4">
        <v>45294</v>
      </c>
      <c r="C802" s="6">
        <v>45476</v>
      </c>
      <c r="D802" t="s">
        <v>2717</v>
      </c>
      <c r="E802" t="s">
        <v>65</v>
      </c>
      <c r="F802" t="s">
        <v>35</v>
      </c>
      <c r="G802" t="s">
        <v>58</v>
      </c>
      <c r="H802" t="s">
        <v>59</v>
      </c>
      <c r="I802" t="s">
        <v>60</v>
      </c>
      <c r="J802" t="s">
        <v>27</v>
      </c>
      <c r="K802" t="s">
        <v>108</v>
      </c>
      <c r="L802" t="s">
        <v>1730</v>
      </c>
      <c r="M802" t="s">
        <v>30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31</v>
      </c>
      <c r="U802" t="s">
        <v>32</v>
      </c>
      <c r="V802">
        <f t="shared" si="49"/>
        <v>21234.971999999998</v>
      </c>
      <c r="W802">
        <f t="shared" si="50"/>
        <v>4498.8819999999978</v>
      </c>
      <c r="X802">
        <f t="shared" si="51"/>
        <v>21.186192286950028</v>
      </c>
      <c r="Y802">
        <f t="shared" si="52"/>
        <v>182</v>
      </c>
      <c r="Z802" t="str" cm="1">
        <f t="array" ref="Z802">_xlfn.IFS(Y802&lt;0, "Invalid Date", ISBLANK(G802), "Missing Region", TRUE, "Clean")</f>
        <v>Clean</v>
      </c>
    </row>
    <row r="803" spans="1:26">
      <c r="A803" t="s">
        <v>1731</v>
      </c>
      <c r="B803" s="4">
        <v>45879</v>
      </c>
      <c r="C803" s="6">
        <v>45945</v>
      </c>
      <c r="D803" t="s">
        <v>2718</v>
      </c>
      <c r="E803" t="s">
        <v>111</v>
      </c>
      <c r="F803" t="s">
        <v>85</v>
      </c>
      <c r="G803" t="s">
        <v>36</v>
      </c>
      <c r="H803" t="s">
        <v>37</v>
      </c>
      <c r="I803" t="s">
        <v>38</v>
      </c>
      <c r="J803" t="s">
        <v>68</v>
      </c>
      <c r="K803" t="s">
        <v>69</v>
      </c>
      <c r="L803" t="s">
        <v>1732</v>
      </c>
      <c r="M803" t="s">
        <v>30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98</v>
      </c>
      <c r="U803" t="s">
        <v>63</v>
      </c>
      <c r="V803">
        <f t="shared" si="49"/>
        <v>8093.304000000001</v>
      </c>
      <c r="W803">
        <f t="shared" si="50"/>
        <v>2040.8740000000007</v>
      </c>
      <c r="X803">
        <f t="shared" si="51"/>
        <v>25.216821214179035</v>
      </c>
      <c r="Y803">
        <f t="shared" si="52"/>
        <v>66</v>
      </c>
      <c r="Z803" t="str" cm="1">
        <f t="array" ref="Z803">_xlfn.IFS(Y803&lt;0, "Invalid Date", ISBLANK(G803), "Missing Region", TRUE, "Clean")</f>
        <v>Clean</v>
      </c>
    </row>
    <row r="804" spans="1:26">
      <c r="A804" t="s">
        <v>1733</v>
      </c>
      <c r="B804" s="4">
        <v>45704</v>
      </c>
      <c r="C804" s="6">
        <v>45704</v>
      </c>
      <c r="D804" t="s">
        <v>2719</v>
      </c>
      <c r="E804" t="s">
        <v>121</v>
      </c>
      <c r="F804" t="s">
        <v>35</v>
      </c>
      <c r="G804" t="s">
        <v>36</v>
      </c>
      <c r="H804" t="s">
        <v>140</v>
      </c>
      <c r="I804" t="s">
        <v>141</v>
      </c>
      <c r="J804" t="s">
        <v>39</v>
      </c>
      <c r="K804" t="s">
        <v>53</v>
      </c>
      <c r="L804" t="s">
        <v>1734</v>
      </c>
      <c r="M804" t="s">
        <v>30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1735</v>
      </c>
      <c r="U804" t="s">
        <v>92</v>
      </c>
      <c r="V804">
        <f t="shared" si="49"/>
        <v>8651.4600000000009</v>
      </c>
      <c r="W804">
        <f t="shared" si="50"/>
        <v>3396.8400000000011</v>
      </c>
      <c r="X804">
        <f t="shared" si="51"/>
        <v>39.263199506210519</v>
      </c>
      <c r="Y804">
        <f t="shared" si="52"/>
        <v>0</v>
      </c>
      <c r="Z804" t="str" cm="1">
        <f t="array" ref="Z804">_xlfn.IFS(Y804&lt;0, "Invalid Date", ISBLANK(G804), "Missing Region", TRUE, "Clean")</f>
        <v>Clean</v>
      </c>
    </row>
    <row r="805" spans="1:26">
      <c r="A805" t="s">
        <v>1736</v>
      </c>
      <c r="B805" s="4">
        <v>45547</v>
      </c>
      <c r="C805" s="6">
        <v>45639</v>
      </c>
      <c r="D805" t="s">
        <v>2720</v>
      </c>
      <c r="E805" t="s">
        <v>121</v>
      </c>
      <c r="F805" t="s">
        <v>23</v>
      </c>
      <c r="G805" t="s">
        <v>2806</v>
      </c>
      <c r="H805" t="s">
        <v>186</v>
      </c>
      <c r="I805" t="s">
        <v>187</v>
      </c>
      <c r="J805" t="s">
        <v>27</v>
      </c>
      <c r="K805" t="s">
        <v>82</v>
      </c>
      <c r="L805" t="s">
        <v>1737</v>
      </c>
      <c r="M805" t="s">
        <v>47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31</v>
      </c>
      <c r="U805" t="s">
        <v>32</v>
      </c>
      <c r="V805">
        <f t="shared" si="49"/>
        <v>4306.6499999999996</v>
      </c>
      <c r="W805">
        <f t="shared" si="50"/>
        <v>1737.8299999999995</v>
      </c>
      <c r="X805">
        <f t="shared" si="51"/>
        <v>40.352245945224233</v>
      </c>
      <c r="Y805">
        <f t="shared" si="52"/>
        <v>92</v>
      </c>
      <c r="Z805" t="str" cm="1">
        <f t="array" ref="Z805">_xlfn.IFS(Y805&lt;0, "Invalid Date", ISBLANK(G805), "Missing Region", TRUE, "Clean")</f>
        <v>Clean</v>
      </c>
    </row>
    <row r="806" spans="1:26">
      <c r="A806" t="s">
        <v>1738</v>
      </c>
      <c r="B806" s="4">
        <v>45939</v>
      </c>
      <c r="C806" s="6">
        <v>45918</v>
      </c>
      <c r="D806" t="s">
        <v>2677</v>
      </c>
      <c r="E806" t="s">
        <v>103</v>
      </c>
      <c r="F806" t="s">
        <v>85</v>
      </c>
      <c r="G806" t="s">
        <v>50</v>
      </c>
      <c r="H806" t="s">
        <v>51</v>
      </c>
      <c r="I806" t="s">
        <v>52</v>
      </c>
      <c r="J806" t="s">
        <v>39</v>
      </c>
      <c r="K806" t="s">
        <v>53</v>
      </c>
      <c r="L806" t="s">
        <v>1739</v>
      </c>
      <c r="M806" t="s">
        <v>55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31</v>
      </c>
      <c r="U806" t="s">
        <v>32</v>
      </c>
      <c r="V806">
        <f t="shared" si="49"/>
        <v>1948.0889999999997</v>
      </c>
      <c r="W806">
        <f t="shared" si="50"/>
        <v>441.00899999999979</v>
      </c>
      <c r="X806">
        <f t="shared" si="51"/>
        <v>22.638031424642296</v>
      </c>
      <c r="Y806">
        <f t="shared" si="52"/>
        <v>-21</v>
      </c>
      <c r="Z806" t="str" cm="1">
        <f t="array" ref="Z806">_xlfn.IFS(Y806&lt;0, "Invalid Date", ISBLANK(G806), "Missing Region", TRUE, "Clean")</f>
        <v>Invalid Date</v>
      </c>
    </row>
    <row r="807" spans="1:26">
      <c r="A807" t="s">
        <v>1740</v>
      </c>
      <c r="B807" s="4">
        <v>45812</v>
      </c>
      <c r="C807" s="6">
        <v>45842</v>
      </c>
      <c r="D807" t="s">
        <v>2721</v>
      </c>
      <c r="E807" t="s">
        <v>100</v>
      </c>
      <c r="F807" t="s">
        <v>85</v>
      </c>
      <c r="G807" t="s">
        <v>36</v>
      </c>
      <c r="H807" t="s">
        <v>140</v>
      </c>
      <c r="I807" t="s">
        <v>141</v>
      </c>
      <c r="J807" t="s">
        <v>27</v>
      </c>
      <c r="K807" t="s">
        <v>130</v>
      </c>
      <c r="L807" t="s">
        <v>1741</v>
      </c>
      <c r="M807" t="s">
        <v>30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31</v>
      </c>
      <c r="U807" t="s">
        <v>32</v>
      </c>
      <c r="V807">
        <f t="shared" si="49"/>
        <v>3045.09</v>
      </c>
      <c r="W807">
        <f t="shared" si="50"/>
        <v>444</v>
      </c>
      <c r="X807">
        <f t="shared" si="51"/>
        <v>14.580849827098705</v>
      </c>
      <c r="Y807">
        <f t="shared" si="52"/>
        <v>30</v>
      </c>
      <c r="Z807" t="str" cm="1">
        <f t="array" ref="Z807">_xlfn.IFS(Y807&lt;0, "Invalid Date", ISBLANK(G807), "Missing Region", TRUE, "Clean")</f>
        <v>Clean</v>
      </c>
    </row>
    <row r="808" spans="1:26">
      <c r="A808" t="s">
        <v>1742</v>
      </c>
      <c r="B808" s="4">
        <v>45546</v>
      </c>
      <c r="C808" s="6">
        <v>45611</v>
      </c>
      <c r="D808" t="s">
        <v>2722</v>
      </c>
      <c r="E808" t="s">
        <v>44</v>
      </c>
      <c r="F808" t="s">
        <v>85</v>
      </c>
      <c r="G808" t="s">
        <v>24</v>
      </c>
      <c r="H808" t="s">
        <v>25</v>
      </c>
      <c r="I808" t="s">
        <v>26</v>
      </c>
      <c r="J808" t="s">
        <v>68</v>
      </c>
      <c r="K808" t="s">
        <v>73</v>
      </c>
      <c r="L808" t="s">
        <v>1743</v>
      </c>
      <c r="M808" t="s">
        <v>55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132</v>
      </c>
      <c r="U808" t="s">
        <v>63</v>
      </c>
      <c r="V808">
        <f t="shared" si="49"/>
        <v>2932.7759999999998</v>
      </c>
      <c r="W808">
        <f t="shared" si="50"/>
        <v>1032.4259999999999</v>
      </c>
      <c r="X808">
        <f t="shared" si="51"/>
        <v>35.203029484692998</v>
      </c>
      <c r="Y808">
        <f t="shared" si="52"/>
        <v>65</v>
      </c>
      <c r="Z808" t="str" cm="1">
        <f t="array" ref="Z808">_xlfn.IFS(Y808&lt;0, "Invalid Date", ISBLANK(G808), "Missing Region", TRUE, "Clean")</f>
        <v>Clean</v>
      </c>
    </row>
    <row r="809" spans="1:26">
      <c r="A809" t="s">
        <v>1744</v>
      </c>
      <c r="B809" s="4">
        <v>45840</v>
      </c>
      <c r="C809" s="6">
        <v>45871</v>
      </c>
      <c r="D809" t="s">
        <v>2723</v>
      </c>
      <c r="E809" t="s">
        <v>22</v>
      </c>
      <c r="F809" t="s">
        <v>35</v>
      </c>
      <c r="G809" t="s">
        <v>50</v>
      </c>
      <c r="H809" t="s">
        <v>51</v>
      </c>
      <c r="I809" t="s">
        <v>52</v>
      </c>
      <c r="J809" t="s">
        <v>27</v>
      </c>
      <c r="K809" t="s">
        <v>82</v>
      </c>
      <c r="L809" t="s">
        <v>1745</v>
      </c>
      <c r="M809" t="s">
        <v>1746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31</v>
      </c>
      <c r="U809" t="s">
        <v>32</v>
      </c>
      <c r="V809">
        <f t="shared" si="49"/>
        <v>4379.3640000000005</v>
      </c>
      <c r="W809">
        <f t="shared" si="50"/>
        <v>655.43400000000065</v>
      </c>
      <c r="X809">
        <f t="shared" si="51"/>
        <v>14.966419781502532</v>
      </c>
      <c r="Y809">
        <f t="shared" si="52"/>
        <v>31</v>
      </c>
      <c r="Z809" t="str" cm="1">
        <f t="array" ref="Z809">_xlfn.IFS(Y809&lt;0, "Invalid Date", ISBLANK(G809), "Missing Region", TRUE, "Clean")</f>
        <v>Clean</v>
      </c>
    </row>
    <row r="810" spans="1:26">
      <c r="A810" t="s">
        <v>1747</v>
      </c>
      <c r="B810" s="4">
        <v>45900</v>
      </c>
      <c r="C810" s="6">
        <v>45897</v>
      </c>
      <c r="D810" t="s">
        <v>2724</v>
      </c>
      <c r="E810" t="s">
        <v>111</v>
      </c>
      <c r="F810" t="s">
        <v>35</v>
      </c>
      <c r="G810" t="s">
        <v>50</v>
      </c>
      <c r="H810" t="s">
        <v>200</v>
      </c>
      <c r="I810" t="s">
        <v>201</v>
      </c>
      <c r="J810" t="s">
        <v>39</v>
      </c>
      <c r="K810" t="s">
        <v>53</v>
      </c>
      <c r="L810" t="s">
        <v>1748</v>
      </c>
      <c r="M810" t="s">
        <v>47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31</v>
      </c>
      <c r="U810" t="s">
        <v>32</v>
      </c>
      <c r="V810">
        <f t="shared" si="49"/>
        <v>5472.768</v>
      </c>
      <c r="W810">
        <f t="shared" si="50"/>
        <v>995.4380000000001</v>
      </c>
      <c r="X810">
        <f t="shared" si="51"/>
        <v>18.188931085695575</v>
      </c>
      <c r="Y810">
        <f t="shared" si="52"/>
        <v>-3</v>
      </c>
      <c r="Z810" t="str" cm="1">
        <f t="array" ref="Z810">_xlfn.IFS(Y810&lt;0, "Invalid Date", ISBLANK(G810), "Missing Region", TRUE, "Clean")</f>
        <v>Invalid Date</v>
      </c>
    </row>
    <row r="811" spans="1:26">
      <c r="A811" t="s">
        <v>1749</v>
      </c>
      <c r="B811" s="4">
        <v>45833</v>
      </c>
      <c r="C811" s="6">
        <v>45833</v>
      </c>
      <c r="D811" t="s">
        <v>2461</v>
      </c>
      <c r="E811" t="s">
        <v>49</v>
      </c>
      <c r="F811" t="s">
        <v>35</v>
      </c>
      <c r="G811" t="s">
        <v>2806</v>
      </c>
      <c r="H811" t="s">
        <v>106</v>
      </c>
      <c r="I811" t="s">
        <v>107</v>
      </c>
      <c r="J811" t="s">
        <v>27</v>
      </c>
      <c r="K811" t="s">
        <v>130</v>
      </c>
      <c r="L811" t="s">
        <v>1750</v>
      </c>
      <c r="M811" t="s">
        <v>30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31</v>
      </c>
      <c r="U811" t="s">
        <v>32</v>
      </c>
      <c r="V811">
        <f t="shared" si="49"/>
        <v>7377.1020000000008</v>
      </c>
      <c r="W811">
        <f t="shared" si="50"/>
        <v>2291.8920000000007</v>
      </c>
      <c r="X811">
        <f t="shared" si="51"/>
        <v>31.067646888981614</v>
      </c>
      <c r="Y811">
        <f t="shared" si="52"/>
        <v>0</v>
      </c>
      <c r="Z811" t="str" cm="1">
        <f t="array" ref="Z811">_xlfn.IFS(Y811&lt;0, "Invalid Date", ISBLANK(G811), "Missing Region", TRUE, "Clean")</f>
        <v>Clean</v>
      </c>
    </row>
    <row r="812" spans="1:26">
      <c r="A812" t="s">
        <v>1751</v>
      </c>
      <c r="B812" s="4">
        <v>45385</v>
      </c>
      <c r="C812" s="6">
        <v>45508</v>
      </c>
      <c r="D812" t="s">
        <v>2725</v>
      </c>
      <c r="E812" t="s">
        <v>212</v>
      </c>
      <c r="F812" t="s">
        <v>85</v>
      </c>
      <c r="G812" t="s">
        <v>58</v>
      </c>
      <c r="H812" t="s">
        <v>151</v>
      </c>
      <c r="I812" t="s">
        <v>152</v>
      </c>
      <c r="J812" t="s">
        <v>68</v>
      </c>
      <c r="K812" t="s">
        <v>73</v>
      </c>
      <c r="L812" t="s">
        <v>1752</v>
      </c>
      <c r="M812" t="s">
        <v>47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31</v>
      </c>
      <c r="U812" t="s">
        <v>32</v>
      </c>
      <c r="V812">
        <f t="shared" si="49"/>
        <v>2363.8874999999998</v>
      </c>
      <c r="W812">
        <f t="shared" si="50"/>
        <v>892.37749999999983</v>
      </c>
      <c r="X812">
        <f t="shared" si="51"/>
        <v>37.750421710001</v>
      </c>
      <c r="Y812">
        <f t="shared" si="52"/>
        <v>123</v>
      </c>
      <c r="Z812" t="str" cm="1">
        <f t="array" ref="Z812">_xlfn.IFS(Y812&lt;0, "Invalid Date", ISBLANK(G812), "Missing Region", TRUE, "Clean")</f>
        <v>Clean</v>
      </c>
    </row>
    <row r="813" spans="1:26">
      <c r="A813" t="s">
        <v>1753</v>
      </c>
      <c r="B813" s="4">
        <v>45638</v>
      </c>
      <c r="C813" s="6">
        <v>45645</v>
      </c>
      <c r="D813" t="s">
        <v>2726</v>
      </c>
      <c r="E813" t="s">
        <v>121</v>
      </c>
      <c r="F813" t="s">
        <v>85</v>
      </c>
      <c r="G813" t="s">
        <v>24</v>
      </c>
      <c r="H813" t="s">
        <v>192</v>
      </c>
      <c r="I813" t="s">
        <v>193</v>
      </c>
      <c r="J813" t="s">
        <v>68</v>
      </c>
      <c r="K813" t="s">
        <v>69</v>
      </c>
      <c r="L813" t="s">
        <v>1754</v>
      </c>
      <c r="M813" t="s">
        <v>47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31</v>
      </c>
      <c r="U813" t="s">
        <v>32</v>
      </c>
      <c r="V813">
        <f t="shared" si="49"/>
        <v>2577.2000000000003</v>
      </c>
      <c r="W813">
        <f t="shared" si="50"/>
        <v>1101.3300000000004</v>
      </c>
      <c r="X813">
        <f t="shared" si="51"/>
        <v>42.733586838429318</v>
      </c>
      <c r="Y813">
        <f t="shared" si="52"/>
        <v>7</v>
      </c>
      <c r="Z813" t="str" cm="1">
        <f t="array" ref="Z813">_xlfn.IFS(Y813&lt;0, "Invalid Date", ISBLANK(G813), "Missing Region", TRUE, "Clean")</f>
        <v>Clean</v>
      </c>
    </row>
    <row r="814" spans="1:26">
      <c r="A814" t="s">
        <v>1755</v>
      </c>
      <c r="B814" s="4">
        <v>45458</v>
      </c>
      <c r="C814" s="6">
        <v>45463</v>
      </c>
      <c r="D814" t="s">
        <v>2727</v>
      </c>
      <c r="E814" t="s">
        <v>114</v>
      </c>
      <c r="F814" t="s">
        <v>35</v>
      </c>
      <c r="G814" t="s">
        <v>36</v>
      </c>
      <c r="H814" t="s">
        <v>186</v>
      </c>
      <c r="I814" t="s">
        <v>187</v>
      </c>
      <c r="J814" t="s">
        <v>39</v>
      </c>
      <c r="K814" t="s">
        <v>40</v>
      </c>
      <c r="L814" t="s">
        <v>1756</v>
      </c>
      <c r="M814" t="s">
        <v>47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31</v>
      </c>
      <c r="U814" t="s">
        <v>32</v>
      </c>
      <c r="V814">
        <f t="shared" si="49"/>
        <v>17827.759999999998</v>
      </c>
      <c r="W814">
        <f t="shared" si="50"/>
        <v>3705.6299999999992</v>
      </c>
      <c r="X814">
        <f t="shared" si="51"/>
        <v>20.785729671029895</v>
      </c>
      <c r="Y814">
        <f t="shared" si="52"/>
        <v>5</v>
      </c>
      <c r="Z814" t="str" cm="1">
        <f t="array" ref="Z814">_xlfn.IFS(Y814&lt;0, "Invalid Date", ISBLANK(G814), "Missing Region", TRUE, "Clean")</f>
        <v>Clean</v>
      </c>
    </row>
    <row r="815" spans="1:26">
      <c r="A815" t="s">
        <v>1757</v>
      </c>
      <c r="B815" s="4">
        <v>45753</v>
      </c>
      <c r="C815" s="6">
        <v>45934</v>
      </c>
      <c r="D815" t="s">
        <v>2728</v>
      </c>
      <c r="E815" t="s">
        <v>121</v>
      </c>
      <c r="F815" t="s">
        <v>23</v>
      </c>
      <c r="G815" t="s">
        <v>36</v>
      </c>
      <c r="H815" t="s">
        <v>37</v>
      </c>
      <c r="I815" t="s">
        <v>38</v>
      </c>
      <c r="J815" t="s">
        <v>39</v>
      </c>
      <c r="K815" t="s">
        <v>134</v>
      </c>
      <c r="L815" t="s">
        <v>799</v>
      </c>
      <c r="M815" t="s">
        <v>55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31</v>
      </c>
      <c r="U815" t="s">
        <v>32</v>
      </c>
      <c r="V815">
        <f t="shared" si="49"/>
        <v>2675.34</v>
      </c>
      <c r="W815">
        <f t="shared" si="50"/>
        <v>1079.4700000000003</v>
      </c>
      <c r="X815">
        <f t="shared" si="51"/>
        <v>40.348890234512261</v>
      </c>
      <c r="Y815">
        <f t="shared" si="52"/>
        <v>181</v>
      </c>
      <c r="Z815" t="str" cm="1">
        <f t="array" ref="Z815">_xlfn.IFS(Y815&lt;0, "Invalid Date", ISBLANK(G815), "Missing Region", TRUE, "Clean")</f>
        <v>Clean</v>
      </c>
    </row>
    <row r="816" spans="1:26">
      <c r="A816" t="s">
        <v>1758</v>
      </c>
      <c r="B816" s="4">
        <v>45816</v>
      </c>
      <c r="C816" s="6">
        <v>45969</v>
      </c>
      <c r="D816" t="s">
        <v>2729</v>
      </c>
      <c r="E816" t="s">
        <v>49</v>
      </c>
      <c r="F816" t="s">
        <v>23</v>
      </c>
      <c r="G816" t="s">
        <v>58</v>
      </c>
      <c r="H816" t="s">
        <v>66</v>
      </c>
      <c r="I816" t="s">
        <v>67</v>
      </c>
      <c r="J816" t="s">
        <v>27</v>
      </c>
      <c r="K816" t="s">
        <v>82</v>
      </c>
      <c r="L816" t="s">
        <v>1759</v>
      </c>
      <c r="M816" t="s">
        <v>47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31</v>
      </c>
      <c r="U816" t="s">
        <v>32</v>
      </c>
      <c r="V816">
        <f t="shared" si="49"/>
        <v>3563.91</v>
      </c>
      <c r="W816">
        <f t="shared" si="50"/>
        <v>924.21</v>
      </c>
      <c r="X816">
        <f t="shared" si="51"/>
        <v>25.932473042248542</v>
      </c>
      <c r="Y816">
        <f t="shared" si="52"/>
        <v>153</v>
      </c>
      <c r="Z816" t="str" cm="1">
        <f t="array" ref="Z816">_xlfn.IFS(Y816&lt;0, "Invalid Date", ISBLANK(G816), "Missing Region", TRUE, "Clean")</f>
        <v>Clean</v>
      </c>
    </row>
    <row r="817" spans="1:26">
      <c r="A817" t="s">
        <v>1760</v>
      </c>
      <c r="B817" s="4">
        <v>45383</v>
      </c>
      <c r="C817" s="6">
        <v>45508</v>
      </c>
      <c r="D817" t="s">
        <v>2730</v>
      </c>
      <c r="E817" t="s">
        <v>137</v>
      </c>
      <c r="F817" t="s">
        <v>23</v>
      </c>
      <c r="G817" t="s">
        <v>36</v>
      </c>
      <c r="H817" t="s">
        <v>37</v>
      </c>
      <c r="I817" t="s">
        <v>38</v>
      </c>
      <c r="J817" t="s">
        <v>68</v>
      </c>
      <c r="K817" t="s">
        <v>219</v>
      </c>
      <c r="L817" t="s">
        <v>1761</v>
      </c>
      <c r="M817" t="s">
        <v>55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98</v>
      </c>
      <c r="U817" t="s">
        <v>63</v>
      </c>
      <c r="V817">
        <f t="shared" si="49"/>
        <v>4259.0694999999996</v>
      </c>
      <c r="W817">
        <f t="shared" si="50"/>
        <v>1128.7494999999994</v>
      </c>
      <c r="X817">
        <f t="shared" si="51"/>
        <v>26.502255950507486</v>
      </c>
      <c r="Y817">
        <f t="shared" si="52"/>
        <v>125</v>
      </c>
      <c r="Z817" t="str" cm="1">
        <f t="array" ref="Z817">_xlfn.IFS(Y817&lt;0, "Invalid Date", ISBLANK(G817), "Missing Region", TRUE, "Clean")</f>
        <v>Clean</v>
      </c>
    </row>
    <row r="818" spans="1:26">
      <c r="A818" t="s">
        <v>1762</v>
      </c>
      <c r="B818" s="4">
        <v>45623</v>
      </c>
      <c r="C818" s="6">
        <v>45626</v>
      </c>
      <c r="D818" t="s">
        <v>2731</v>
      </c>
      <c r="E818" t="s">
        <v>103</v>
      </c>
      <c r="F818" t="s">
        <v>35</v>
      </c>
      <c r="G818" t="s">
        <v>36</v>
      </c>
      <c r="H818" t="s">
        <v>186</v>
      </c>
      <c r="I818" t="s">
        <v>187</v>
      </c>
      <c r="J818" t="s">
        <v>39</v>
      </c>
      <c r="K818" t="s">
        <v>53</v>
      </c>
      <c r="L818" t="s">
        <v>1763</v>
      </c>
      <c r="M818" t="s">
        <v>47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31</v>
      </c>
      <c r="U818" t="s">
        <v>32</v>
      </c>
      <c r="V818">
        <f t="shared" si="49"/>
        <v>786.87</v>
      </c>
      <c r="W818">
        <f t="shared" si="50"/>
        <v>288.37</v>
      </c>
      <c r="X818">
        <f t="shared" si="51"/>
        <v>36.647730883119195</v>
      </c>
      <c r="Y818">
        <f t="shared" si="52"/>
        <v>3</v>
      </c>
      <c r="Z818" t="str" cm="1">
        <f t="array" ref="Z818">_xlfn.IFS(Y818&lt;0, "Invalid Date", ISBLANK(G818), "Missing Region", TRUE, "Clean")</f>
        <v>Clean</v>
      </c>
    </row>
    <row r="819" spans="1:26">
      <c r="A819" t="s">
        <v>1764</v>
      </c>
      <c r="B819" s="4">
        <v>45781</v>
      </c>
      <c r="C819" s="6">
        <v>45752</v>
      </c>
      <c r="D819" t="s">
        <v>2732</v>
      </c>
      <c r="E819" t="s">
        <v>114</v>
      </c>
      <c r="F819" t="s">
        <v>23</v>
      </c>
      <c r="G819" t="s">
        <v>36</v>
      </c>
      <c r="H819" t="s">
        <v>124</v>
      </c>
      <c r="I819" t="s">
        <v>125</v>
      </c>
      <c r="J819" t="s">
        <v>27</v>
      </c>
      <c r="K819" t="s">
        <v>130</v>
      </c>
      <c r="L819" t="s">
        <v>1765</v>
      </c>
      <c r="M819" t="s">
        <v>55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31</v>
      </c>
      <c r="U819" t="s">
        <v>32</v>
      </c>
      <c r="V819">
        <f t="shared" si="49"/>
        <v>8233.6049999999996</v>
      </c>
      <c r="W819">
        <f t="shared" si="50"/>
        <v>3519.8149999999996</v>
      </c>
      <c r="X819">
        <f t="shared" si="51"/>
        <v>42.749378917254347</v>
      </c>
      <c r="Y819">
        <f t="shared" si="52"/>
        <v>-29</v>
      </c>
      <c r="Z819" t="str" cm="1">
        <f t="array" ref="Z819">_xlfn.IFS(Y819&lt;0, "Invalid Date", ISBLANK(G819), "Missing Region", TRUE, "Clean")</f>
        <v>Invalid Date</v>
      </c>
    </row>
    <row r="820" spans="1:26">
      <c r="A820" t="s">
        <v>1766</v>
      </c>
      <c r="B820" s="4">
        <v>45564</v>
      </c>
      <c r="C820" s="6">
        <v>45422</v>
      </c>
      <c r="D820" t="s">
        <v>2733</v>
      </c>
      <c r="E820" t="s">
        <v>100</v>
      </c>
      <c r="F820" t="s">
        <v>35</v>
      </c>
      <c r="G820" t="s">
        <v>58</v>
      </c>
      <c r="H820" t="s">
        <v>59</v>
      </c>
      <c r="I820" t="s">
        <v>60</v>
      </c>
      <c r="J820" t="s">
        <v>27</v>
      </c>
      <c r="K820" t="s">
        <v>82</v>
      </c>
      <c r="L820" t="s">
        <v>1767</v>
      </c>
      <c r="M820" t="s">
        <v>47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31</v>
      </c>
      <c r="U820" t="s">
        <v>32</v>
      </c>
      <c r="V820">
        <f t="shared" si="49"/>
        <v>18067.084800000001</v>
      </c>
      <c r="W820">
        <f t="shared" si="50"/>
        <v>7978.4348000000009</v>
      </c>
      <c r="X820">
        <f t="shared" si="51"/>
        <v>44.160056192352634</v>
      </c>
      <c r="Y820">
        <f t="shared" si="52"/>
        <v>-142</v>
      </c>
      <c r="Z820" t="str" cm="1">
        <f t="array" ref="Z820">_xlfn.IFS(Y820&lt;0, "Invalid Date", ISBLANK(G820), "Missing Region", TRUE, "Clean")</f>
        <v>Invalid Date</v>
      </c>
    </row>
    <row r="821" spans="1:26">
      <c r="A821" t="s">
        <v>1768</v>
      </c>
      <c r="B821" s="4">
        <v>45504</v>
      </c>
      <c r="C821" s="6">
        <v>45504</v>
      </c>
      <c r="D821" t="s">
        <v>2734</v>
      </c>
      <c r="E821" t="s">
        <v>22</v>
      </c>
      <c r="F821" t="s">
        <v>85</v>
      </c>
      <c r="G821" t="s">
        <v>50</v>
      </c>
      <c r="H821" t="s">
        <v>155</v>
      </c>
      <c r="I821" t="s">
        <v>156</v>
      </c>
      <c r="J821" t="s">
        <v>68</v>
      </c>
      <c r="K821" t="s">
        <v>1769</v>
      </c>
      <c r="L821" t="s">
        <v>1770</v>
      </c>
      <c r="M821" t="s">
        <v>55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132</v>
      </c>
      <c r="U821" t="s">
        <v>63</v>
      </c>
      <c r="V821">
        <f t="shared" si="49"/>
        <v>33968.080000000002</v>
      </c>
      <c r="W821">
        <f t="shared" si="50"/>
        <v>7065.6400000000031</v>
      </c>
      <c r="X821">
        <f t="shared" si="51"/>
        <v>20.800822419165293</v>
      </c>
      <c r="Y821">
        <f t="shared" si="52"/>
        <v>0</v>
      </c>
      <c r="Z821" t="str" cm="1">
        <f t="array" ref="Z821">_xlfn.IFS(Y821&lt;0, "Invalid Date", ISBLANK(G821), "Missing Region", TRUE, "Clean")</f>
        <v>Clean</v>
      </c>
    </row>
    <row r="822" spans="1:26">
      <c r="A822" t="s">
        <v>1771</v>
      </c>
      <c r="B822" s="4">
        <v>45810</v>
      </c>
      <c r="C822" s="6">
        <v>45932</v>
      </c>
      <c r="D822" t="s">
        <v>2735</v>
      </c>
      <c r="E822" t="s">
        <v>57</v>
      </c>
      <c r="F822" t="s">
        <v>85</v>
      </c>
      <c r="G822" t="s">
        <v>24</v>
      </c>
      <c r="H822" t="s">
        <v>117</v>
      </c>
      <c r="I822" t="s">
        <v>118</v>
      </c>
      <c r="J822" t="s">
        <v>39</v>
      </c>
      <c r="K822" t="s">
        <v>134</v>
      </c>
      <c r="L822" t="s">
        <v>1772</v>
      </c>
      <c r="M822" t="s">
        <v>55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31</v>
      </c>
      <c r="U822" t="s">
        <v>32</v>
      </c>
      <c r="V822">
        <f t="shared" si="49"/>
        <v>511.31200000000001</v>
      </c>
      <c r="W822">
        <f t="shared" si="50"/>
        <v>74.882000000000005</v>
      </c>
      <c r="X822">
        <f t="shared" si="51"/>
        <v>14.645069937728824</v>
      </c>
      <c r="Y822">
        <f t="shared" si="52"/>
        <v>122</v>
      </c>
      <c r="Z822" t="str" cm="1">
        <f t="array" ref="Z822">_xlfn.IFS(Y822&lt;0, "Invalid Date", ISBLANK(G822), "Missing Region", TRUE, "Clean")</f>
        <v>Clean</v>
      </c>
    </row>
    <row r="823" spans="1:26">
      <c r="A823" t="s">
        <v>1773</v>
      </c>
      <c r="B823" s="4">
        <v>45358</v>
      </c>
      <c r="C823" s="6">
        <v>45450</v>
      </c>
      <c r="D823" t="s">
        <v>2736</v>
      </c>
      <c r="E823" t="s">
        <v>111</v>
      </c>
      <c r="F823" t="s">
        <v>81</v>
      </c>
      <c r="G823" t="s">
        <v>50</v>
      </c>
      <c r="H823" t="s">
        <v>147</v>
      </c>
      <c r="I823" t="s">
        <v>148</v>
      </c>
      <c r="J823" t="s">
        <v>68</v>
      </c>
      <c r="K823" t="s">
        <v>69</v>
      </c>
      <c r="L823" t="s">
        <v>1774</v>
      </c>
      <c r="M823" t="s">
        <v>47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31</v>
      </c>
      <c r="U823" t="s">
        <v>32</v>
      </c>
      <c r="V823">
        <f t="shared" si="49"/>
        <v>10877.944000000001</v>
      </c>
      <c r="W823">
        <f t="shared" si="50"/>
        <v>1767.8040000000019</v>
      </c>
      <c r="X823">
        <f t="shared" si="51"/>
        <v>16.251269541376583</v>
      </c>
      <c r="Y823">
        <f t="shared" si="52"/>
        <v>92</v>
      </c>
      <c r="Z823" t="str" cm="1">
        <f t="array" ref="Z823">_xlfn.IFS(Y823&lt;0, "Invalid Date", ISBLANK(G823), "Missing Region", TRUE, "Clean")</f>
        <v>Clean</v>
      </c>
    </row>
    <row r="824" spans="1:26">
      <c r="A824" t="s">
        <v>1775</v>
      </c>
      <c r="B824" s="4">
        <v>45577</v>
      </c>
      <c r="C824" s="6">
        <v>45514</v>
      </c>
      <c r="D824" t="s">
        <v>2737</v>
      </c>
      <c r="E824" t="s">
        <v>34</v>
      </c>
      <c r="F824" t="s">
        <v>81</v>
      </c>
      <c r="G824" t="s">
        <v>36</v>
      </c>
      <c r="H824" t="s">
        <v>140</v>
      </c>
      <c r="I824" t="s">
        <v>141</v>
      </c>
      <c r="J824" t="s">
        <v>39</v>
      </c>
      <c r="K824" t="s">
        <v>53</v>
      </c>
      <c r="L824" t="s">
        <v>1776</v>
      </c>
      <c r="M824" t="s">
        <v>30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98</v>
      </c>
      <c r="U824" t="s">
        <v>92</v>
      </c>
      <c r="V824">
        <f t="shared" si="49"/>
        <v>10246.528</v>
      </c>
      <c r="W824">
        <f t="shared" si="50"/>
        <v>1612.1080000000002</v>
      </c>
      <c r="X824">
        <f t="shared" si="51"/>
        <v>15.733212264681267</v>
      </c>
      <c r="Y824">
        <f t="shared" si="52"/>
        <v>-63</v>
      </c>
      <c r="Z824" t="str" cm="1">
        <f t="array" ref="Z824">_xlfn.IFS(Y824&lt;0, "Invalid Date", ISBLANK(G824), "Missing Region", TRUE, "Clean")</f>
        <v>Invalid Date</v>
      </c>
    </row>
    <row r="825" spans="1:26">
      <c r="A825" t="s">
        <v>1777</v>
      </c>
      <c r="B825" s="4">
        <v>45809</v>
      </c>
      <c r="C825" s="6">
        <v>45992</v>
      </c>
      <c r="D825" t="s">
        <v>2738</v>
      </c>
      <c r="E825" t="s">
        <v>34</v>
      </c>
      <c r="F825" t="s">
        <v>85</v>
      </c>
      <c r="G825" t="s">
        <v>58</v>
      </c>
      <c r="H825" t="s">
        <v>159</v>
      </c>
      <c r="I825" t="s">
        <v>160</v>
      </c>
      <c r="J825" t="s">
        <v>27</v>
      </c>
      <c r="K825" t="s">
        <v>28</v>
      </c>
      <c r="L825" t="s">
        <v>1778</v>
      </c>
      <c r="M825" t="s">
        <v>42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31</v>
      </c>
      <c r="U825" t="s">
        <v>32</v>
      </c>
      <c r="V825">
        <f t="shared" si="49"/>
        <v>1704.2415000000001</v>
      </c>
      <c r="W825">
        <f t="shared" si="50"/>
        <v>746.69150000000013</v>
      </c>
      <c r="X825">
        <f t="shared" si="51"/>
        <v>43.813714194848565</v>
      </c>
      <c r="Y825">
        <f t="shared" si="52"/>
        <v>183</v>
      </c>
      <c r="Z825" t="str" cm="1">
        <f t="array" ref="Z825">_xlfn.IFS(Y825&lt;0, "Invalid Date", ISBLANK(G825), "Missing Region", TRUE, "Clean")</f>
        <v>Clean</v>
      </c>
    </row>
    <row r="826" spans="1:26">
      <c r="A826" t="s">
        <v>1779</v>
      </c>
      <c r="B826" s="4">
        <v>45737</v>
      </c>
      <c r="C826" s="6">
        <v>45738</v>
      </c>
      <c r="D826" t="s">
        <v>2739</v>
      </c>
      <c r="E826" t="s">
        <v>100</v>
      </c>
      <c r="F826" t="s">
        <v>23</v>
      </c>
      <c r="G826" t="s">
        <v>58</v>
      </c>
      <c r="H826" t="s">
        <v>159</v>
      </c>
      <c r="I826" t="s">
        <v>160</v>
      </c>
      <c r="J826" t="s">
        <v>27</v>
      </c>
      <c r="K826" t="s">
        <v>28</v>
      </c>
      <c r="L826" t="s">
        <v>1780</v>
      </c>
      <c r="M826" t="s">
        <v>47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31</v>
      </c>
      <c r="U826" t="s">
        <v>32</v>
      </c>
      <c r="V826">
        <f t="shared" si="49"/>
        <v>33719.223999999995</v>
      </c>
      <c r="W826">
        <f t="shared" si="50"/>
        <v>4794.7939999999944</v>
      </c>
      <c r="X826">
        <f t="shared" si="51"/>
        <v>14.219763776295668</v>
      </c>
      <c r="Y826">
        <f t="shared" si="52"/>
        <v>1</v>
      </c>
      <c r="Z826" t="str" cm="1">
        <f t="array" ref="Z826">_xlfn.IFS(Y826&lt;0, "Invalid Date", ISBLANK(G826), "Missing Region", TRUE, "Clean")</f>
        <v>Clean</v>
      </c>
    </row>
    <row r="827" spans="1:26">
      <c r="A827" t="s">
        <v>1781</v>
      </c>
      <c r="B827" s="4">
        <v>45763</v>
      </c>
      <c r="C827" s="6">
        <v>45764</v>
      </c>
      <c r="D827" t="s">
        <v>2740</v>
      </c>
      <c r="E827" t="s">
        <v>65</v>
      </c>
      <c r="F827" t="s">
        <v>35</v>
      </c>
      <c r="G827" t="s">
        <v>24</v>
      </c>
      <c r="H827" t="s">
        <v>117</v>
      </c>
      <c r="I827" t="s">
        <v>118</v>
      </c>
      <c r="J827" t="s">
        <v>68</v>
      </c>
      <c r="K827" t="s">
        <v>219</v>
      </c>
      <c r="L827" t="s">
        <v>1782</v>
      </c>
      <c r="M827" t="s">
        <v>47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31</v>
      </c>
      <c r="U827" t="s">
        <v>32</v>
      </c>
      <c r="V827">
        <f t="shared" si="49"/>
        <v>2720.17</v>
      </c>
      <c r="W827">
        <f t="shared" si="50"/>
        <v>885.94</v>
      </c>
      <c r="X827">
        <f t="shared" si="51"/>
        <v>32.569287948914962</v>
      </c>
      <c r="Y827">
        <f t="shared" si="52"/>
        <v>1</v>
      </c>
      <c r="Z827" t="str" cm="1">
        <f t="array" ref="Z827">_xlfn.IFS(Y827&lt;0, "Invalid Date", ISBLANK(G827), "Missing Region", TRUE, "Clean")</f>
        <v>Clean</v>
      </c>
    </row>
    <row r="828" spans="1:26">
      <c r="A828" t="s">
        <v>1783</v>
      </c>
      <c r="B828" s="4">
        <v>45938</v>
      </c>
      <c r="C828" s="6">
        <v>45883</v>
      </c>
      <c r="D828" t="s">
        <v>2741</v>
      </c>
      <c r="E828" t="s">
        <v>80</v>
      </c>
      <c r="F828" t="s">
        <v>23</v>
      </c>
      <c r="G828" t="s">
        <v>58</v>
      </c>
      <c r="H828" t="s">
        <v>25</v>
      </c>
      <c r="I828" t="s">
        <v>96</v>
      </c>
      <c r="J828" t="s">
        <v>68</v>
      </c>
      <c r="K828" t="s">
        <v>69</v>
      </c>
      <c r="L828" t="s">
        <v>1784</v>
      </c>
      <c r="M828" t="s">
        <v>55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31</v>
      </c>
      <c r="U828" t="s">
        <v>32</v>
      </c>
      <c r="V828">
        <f t="shared" si="49"/>
        <v>8213.0249999999996</v>
      </c>
      <c r="W828">
        <f t="shared" si="50"/>
        <v>2643.7249999999995</v>
      </c>
      <c r="X828">
        <f t="shared" si="51"/>
        <v>32.189418636860346</v>
      </c>
      <c r="Y828">
        <f t="shared" si="52"/>
        <v>-55</v>
      </c>
      <c r="Z828" t="str" cm="1">
        <f t="array" ref="Z828">_xlfn.IFS(Y828&lt;0, "Invalid Date", ISBLANK(G828), "Missing Region", TRUE, "Clean")</f>
        <v>Invalid Date</v>
      </c>
    </row>
    <row r="829" spans="1:26">
      <c r="A829" t="s">
        <v>1785</v>
      </c>
      <c r="B829" s="4">
        <v>45620</v>
      </c>
      <c r="C829" s="6">
        <v>45303</v>
      </c>
      <c r="D829" t="s">
        <v>2742</v>
      </c>
      <c r="E829" t="s">
        <v>100</v>
      </c>
      <c r="F829" t="s">
        <v>85</v>
      </c>
      <c r="G829" t="s">
        <v>50</v>
      </c>
      <c r="H829" t="s">
        <v>200</v>
      </c>
      <c r="I829" t="s">
        <v>201</v>
      </c>
      <c r="J829" t="s">
        <v>27</v>
      </c>
      <c r="K829" t="s">
        <v>28</v>
      </c>
      <c r="L829" t="s">
        <v>1786</v>
      </c>
      <c r="M829" t="s">
        <v>42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31</v>
      </c>
      <c r="U829" t="s">
        <v>63</v>
      </c>
      <c r="V829">
        <f t="shared" si="49"/>
        <v>633.66750000000002</v>
      </c>
      <c r="W829">
        <f t="shared" si="50"/>
        <v>113.19749999999999</v>
      </c>
      <c r="X829">
        <f t="shared" si="51"/>
        <v>17.86386393495011</v>
      </c>
      <c r="Y829">
        <f t="shared" si="52"/>
        <v>-317</v>
      </c>
      <c r="Z829" t="str" cm="1">
        <f t="array" ref="Z829">_xlfn.IFS(Y829&lt;0, "Invalid Date", ISBLANK(G829), "Missing Region", TRUE, "Clean")</f>
        <v>Invalid Date</v>
      </c>
    </row>
    <row r="830" spans="1:26">
      <c r="A830" t="s">
        <v>1787</v>
      </c>
      <c r="B830" s="4">
        <v>45940</v>
      </c>
      <c r="C830" s="6">
        <v>45971</v>
      </c>
      <c r="D830" t="s">
        <v>2743</v>
      </c>
      <c r="E830" t="s">
        <v>22</v>
      </c>
      <c r="F830" t="s">
        <v>81</v>
      </c>
      <c r="G830" t="s">
        <v>36</v>
      </c>
      <c r="H830" t="s">
        <v>37</v>
      </c>
      <c r="I830" t="s">
        <v>38</v>
      </c>
      <c r="J830" t="s">
        <v>39</v>
      </c>
      <c r="K830" t="s">
        <v>61</v>
      </c>
      <c r="L830" t="s">
        <v>1788</v>
      </c>
      <c r="M830" t="s">
        <v>30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132</v>
      </c>
      <c r="U830" t="s">
        <v>63</v>
      </c>
      <c r="V830">
        <f t="shared" si="49"/>
        <v>25216.534</v>
      </c>
      <c r="W830">
        <f t="shared" si="50"/>
        <v>10999.593999999999</v>
      </c>
      <c r="X830">
        <f t="shared" si="51"/>
        <v>43.620562603885212</v>
      </c>
      <c r="Y830">
        <f t="shared" si="52"/>
        <v>31</v>
      </c>
      <c r="Z830" t="str" cm="1">
        <f t="array" ref="Z830">_xlfn.IFS(Y830&lt;0, "Invalid Date", ISBLANK(G830), "Missing Region", TRUE, "Clean")</f>
        <v>Clean</v>
      </c>
    </row>
    <row r="831" spans="1:26">
      <c r="A831" t="s">
        <v>1789</v>
      </c>
      <c r="B831" s="4">
        <v>45348</v>
      </c>
      <c r="C831" s="6">
        <v>45350</v>
      </c>
      <c r="D831" t="s">
        <v>2744</v>
      </c>
      <c r="E831" t="s">
        <v>80</v>
      </c>
      <c r="F831" t="s">
        <v>35</v>
      </c>
      <c r="G831" t="s">
        <v>58</v>
      </c>
      <c r="H831" t="s">
        <v>159</v>
      </c>
      <c r="I831" t="s">
        <v>160</v>
      </c>
      <c r="J831" t="s">
        <v>39</v>
      </c>
      <c r="K831" t="s">
        <v>53</v>
      </c>
      <c r="L831" t="s">
        <v>1790</v>
      </c>
      <c r="M831" t="s">
        <v>30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31</v>
      </c>
      <c r="U831" t="s">
        <v>32</v>
      </c>
      <c r="V831">
        <f t="shared" si="49"/>
        <v>6521.3820000000005</v>
      </c>
      <c r="W831">
        <f t="shared" si="50"/>
        <v>2010.2820000000002</v>
      </c>
      <c r="X831">
        <f t="shared" si="51"/>
        <v>30.826012032418891</v>
      </c>
      <c r="Y831">
        <f t="shared" si="52"/>
        <v>2</v>
      </c>
      <c r="Z831" t="str" cm="1">
        <f t="array" ref="Z831">_xlfn.IFS(Y831&lt;0, "Invalid Date", ISBLANK(G831), "Missing Region", TRUE, "Clean")</f>
        <v>Clean</v>
      </c>
    </row>
    <row r="832" spans="1:26">
      <c r="A832" t="s">
        <v>1791</v>
      </c>
      <c r="B832" s="4">
        <v>45853</v>
      </c>
      <c r="C832" s="6">
        <v>45856</v>
      </c>
      <c r="D832" t="s">
        <v>2745</v>
      </c>
      <c r="E832" t="s">
        <v>80</v>
      </c>
      <c r="F832" t="s">
        <v>35</v>
      </c>
      <c r="G832" t="s">
        <v>2806</v>
      </c>
      <c r="H832" t="s">
        <v>200</v>
      </c>
      <c r="I832" t="s">
        <v>201</v>
      </c>
      <c r="J832" t="s">
        <v>68</v>
      </c>
      <c r="K832" t="s">
        <v>219</v>
      </c>
      <c r="L832" t="s">
        <v>1792</v>
      </c>
      <c r="M832" t="s">
        <v>47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31</v>
      </c>
      <c r="U832" t="s">
        <v>32</v>
      </c>
      <c r="V832">
        <f t="shared" si="49"/>
        <v>12867.552000000001</v>
      </c>
      <c r="W832">
        <f t="shared" si="50"/>
        <v>2798.612000000001</v>
      </c>
      <c r="X832">
        <f t="shared" si="51"/>
        <v>21.749373929089234</v>
      </c>
      <c r="Y832">
        <f t="shared" si="52"/>
        <v>3</v>
      </c>
      <c r="Z832" t="str" cm="1">
        <f t="array" ref="Z832">_xlfn.IFS(Y832&lt;0, "Invalid Date", ISBLANK(G832), "Missing Region", TRUE, "Clean")</f>
        <v>Clean</v>
      </c>
    </row>
    <row r="833" spans="1:26">
      <c r="A833" t="s">
        <v>1793</v>
      </c>
      <c r="B833" s="4">
        <v>45750</v>
      </c>
      <c r="C833" s="6">
        <v>45720</v>
      </c>
      <c r="D833" t="s">
        <v>2746</v>
      </c>
      <c r="E833" t="s">
        <v>137</v>
      </c>
      <c r="F833" t="s">
        <v>85</v>
      </c>
      <c r="G833" t="s">
        <v>2806</v>
      </c>
      <c r="H833" t="s">
        <v>192</v>
      </c>
      <c r="I833" t="s">
        <v>193</v>
      </c>
      <c r="J833" t="s">
        <v>39</v>
      </c>
      <c r="K833" t="s">
        <v>61</v>
      </c>
      <c r="L833" t="s">
        <v>1794</v>
      </c>
      <c r="M833" t="s">
        <v>47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132</v>
      </c>
      <c r="U833" t="s">
        <v>92</v>
      </c>
      <c r="V833">
        <f t="shared" si="49"/>
        <v>26489.654999999999</v>
      </c>
      <c r="W833">
        <f t="shared" si="50"/>
        <v>10671.195</v>
      </c>
      <c r="X833">
        <f t="shared" si="51"/>
        <v>40.284386489744776</v>
      </c>
      <c r="Y833">
        <f t="shared" si="52"/>
        <v>-30</v>
      </c>
      <c r="Z833" t="str" cm="1">
        <f t="array" ref="Z833">_xlfn.IFS(Y833&lt;0, "Invalid Date", ISBLANK(G833), "Missing Region", TRUE, "Clean")</f>
        <v>Invalid Date</v>
      </c>
    </row>
    <row r="834" spans="1:26">
      <c r="A834" t="s">
        <v>1795</v>
      </c>
      <c r="B834" s="4">
        <v>45803</v>
      </c>
      <c r="C834" s="6">
        <v>45805</v>
      </c>
      <c r="D834" t="s">
        <v>2747</v>
      </c>
      <c r="E834" t="s">
        <v>212</v>
      </c>
      <c r="F834" t="s">
        <v>35</v>
      </c>
      <c r="G834" t="s">
        <v>50</v>
      </c>
      <c r="H834" t="s">
        <v>76</v>
      </c>
      <c r="I834" t="s">
        <v>77</v>
      </c>
      <c r="J834" t="s">
        <v>68</v>
      </c>
      <c r="K834" t="s">
        <v>144</v>
      </c>
      <c r="L834" t="s">
        <v>1796</v>
      </c>
      <c r="M834" t="s">
        <v>30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31</v>
      </c>
      <c r="U834" t="s">
        <v>32</v>
      </c>
      <c r="V834">
        <f t="shared" si="49"/>
        <v>36782.271000000008</v>
      </c>
      <c r="W834">
        <f t="shared" si="50"/>
        <v>10879.461000000007</v>
      </c>
      <c r="X834">
        <f t="shared" si="51"/>
        <v>29.578002402298665</v>
      </c>
      <c r="Y834">
        <f t="shared" si="52"/>
        <v>2</v>
      </c>
      <c r="Z834" t="str" cm="1">
        <f t="array" ref="Z834">_xlfn.IFS(Y834&lt;0, "Invalid Date", ISBLANK(G834), "Missing Region", TRUE, "Clean")</f>
        <v>Clean</v>
      </c>
    </row>
    <row r="835" spans="1:26">
      <c r="A835" t="s">
        <v>1797</v>
      </c>
      <c r="B835" s="4">
        <v>45388</v>
      </c>
      <c r="C835" s="6">
        <v>45447</v>
      </c>
      <c r="D835" t="s">
        <v>2748</v>
      </c>
      <c r="E835" t="s">
        <v>103</v>
      </c>
      <c r="F835" t="s">
        <v>85</v>
      </c>
      <c r="G835" t="s">
        <v>36</v>
      </c>
      <c r="H835" t="s">
        <v>88</v>
      </c>
      <c r="I835" t="s">
        <v>89</v>
      </c>
      <c r="J835" t="s">
        <v>39</v>
      </c>
      <c r="K835" t="s">
        <v>134</v>
      </c>
      <c r="L835" t="s">
        <v>1798</v>
      </c>
      <c r="M835" t="s">
        <v>47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31</v>
      </c>
      <c r="U835" t="s">
        <v>32</v>
      </c>
      <c r="V835">
        <f t="shared" ref="V835:V898" si="53">N835*O835*(1- P835)</f>
        <v>23696.400000000001</v>
      </c>
      <c r="W835">
        <f t="shared" ref="W835:W898" si="54">V835-R835</f>
        <v>5586.630000000001</v>
      </c>
      <c r="X835">
        <f t="shared" ref="X835:X898" si="55">W835/V835*100</f>
        <v>23.575859624246721</v>
      </c>
      <c r="Y835">
        <f t="shared" si="52"/>
        <v>59</v>
      </c>
      <c r="Z835" t="str" cm="1">
        <f t="array" ref="Z835">_xlfn.IFS(Y835&lt;0, "Invalid Date", ISBLANK(G835), "Missing Region", TRUE, "Clean")</f>
        <v>Clean</v>
      </c>
    </row>
    <row r="836" spans="1:26">
      <c r="A836" t="s">
        <v>1799</v>
      </c>
      <c r="B836" s="4">
        <v>45583</v>
      </c>
      <c r="C836" s="6">
        <v>45587</v>
      </c>
      <c r="D836" t="s">
        <v>2749</v>
      </c>
      <c r="E836" t="s">
        <v>111</v>
      </c>
      <c r="F836" t="s">
        <v>85</v>
      </c>
      <c r="G836" t="s">
        <v>50</v>
      </c>
      <c r="H836" t="s">
        <v>51</v>
      </c>
      <c r="I836" t="s">
        <v>52</v>
      </c>
      <c r="J836" t="s">
        <v>27</v>
      </c>
      <c r="K836" t="s">
        <v>45</v>
      </c>
      <c r="L836" t="s">
        <v>1800</v>
      </c>
      <c r="M836" t="s">
        <v>47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31</v>
      </c>
      <c r="U836" t="s">
        <v>32</v>
      </c>
      <c r="V836">
        <f t="shared" si="53"/>
        <v>4047.66</v>
      </c>
      <c r="W836">
        <f t="shared" si="54"/>
        <v>968.73</v>
      </c>
      <c r="X836">
        <f t="shared" si="55"/>
        <v>23.933087265234729</v>
      </c>
      <c r="Y836">
        <f t="shared" si="52"/>
        <v>4</v>
      </c>
      <c r="Z836" t="str" cm="1">
        <f t="array" ref="Z836">_xlfn.IFS(Y836&lt;0, "Invalid Date", ISBLANK(G836), "Missing Region", TRUE, "Clean")</f>
        <v>Clean</v>
      </c>
    </row>
    <row r="837" spans="1:26">
      <c r="A837" t="s">
        <v>1801</v>
      </c>
      <c r="B837" s="4">
        <v>45926</v>
      </c>
      <c r="C837" s="6">
        <v>45757</v>
      </c>
      <c r="D837" t="s">
        <v>2750</v>
      </c>
      <c r="E837" t="s">
        <v>100</v>
      </c>
      <c r="F837" t="s">
        <v>35</v>
      </c>
      <c r="G837" t="s">
        <v>36</v>
      </c>
      <c r="H837" t="s">
        <v>140</v>
      </c>
      <c r="I837" t="s">
        <v>141</v>
      </c>
      <c r="J837" t="s">
        <v>68</v>
      </c>
      <c r="K837" t="s">
        <v>144</v>
      </c>
      <c r="L837" t="s">
        <v>1802</v>
      </c>
      <c r="M837" t="s">
        <v>30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31</v>
      </c>
      <c r="U837" t="s">
        <v>32</v>
      </c>
      <c r="V837">
        <f t="shared" si="53"/>
        <v>10038.773499999999</v>
      </c>
      <c r="W837">
        <f t="shared" si="54"/>
        <v>4365.673499999999</v>
      </c>
      <c r="X837">
        <f t="shared" si="55"/>
        <v>43.48811635206232</v>
      </c>
      <c r="Y837">
        <f t="shared" si="52"/>
        <v>-169</v>
      </c>
      <c r="Z837" t="str" cm="1">
        <f t="array" ref="Z837">_xlfn.IFS(Y837&lt;0, "Invalid Date", ISBLANK(G837), "Missing Region", TRUE, "Clean")</f>
        <v>Invalid Date</v>
      </c>
    </row>
    <row r="838" spans="1:26">
      <c r="A838" t="s">
        <v>1803</v>
      </c>
      <c r="B838" s="4">
        <v>45641</v>
      </c>
      <c r="C838" s="6">
        <v>45644</v>
      </c>
      <c r="D838" t="s">
        <v>2751</v>
      </c>
      <c r="E838" t="s">
        <v>44</v>
      </c>
      <c r="F838" t="s">
        <v>35</v>
      </c>
      <c r="G838" t="s">
        <v>24</v>
      </c>
      <c r="H838" t="s">
        <v>25</v>
      </c>
      <c r="I838" t="s">
        <v>26</v>
      </c>
      <c r="J838" t="s">
        <v>27</v>
      </c>
      <c r="K838" t="s">
        <v>82</v>
      </c>
      <c r="L838" t="s">
        <v>1804</v>
      </c>
      <c r="M838" t="s">
        <v>30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31</v>
      </c>
      <c r="U838" t="s">
        <v>32</v>
      </c>
      <c r="V838">
        <f t="shared" si="53"/>
        <v>1074.22</v>
      </c>
      <c r="W838">
        <f t="shared" si="54"/>
        <v>223.36</v>
      </c>
      <c r="X838">
        <f t="shared" si="55"/>
        <v>20.792761259332355</v>
      </c>
      <c r="Y838">
        <f t="shared" si="52"/>
        <v>3</v>
      </c>
      <c r="Z838" t="str" cm="1">
        <f t="array" ref="Z838">_xlfn.IFS(Y838&lt;0, "Invalid Date", ISBLANK(G838), "Missing Region", TRUE, "Clean")</f>
        <v>Clean</v>
      </c>
    </row>
    <row r="839" spans="1:26">
      <c r="A839" t="s">
        <v>1805</v>
      </c>
      <c r="B839" s="4">
        <v>45927</v>
      </c>
      <c r="C839" s="6">
        <v>45928</v>
      </c>
      <c r="D839" t="s">
        <v>2752</v>
      </c>
      <c r="E839" t="s">
        <v>22</v>
      </c>
      <c r="F839" t="s">
        <v>85</v>
      </c>
      <c r="G839" t="s">
        <v>58</v>
      </c>
      <c r="H839" t="s">
        <v>59</v>
      </c>
      <c r="I839" t="s">
        <v>60</v>
      </c>
      <c r="J839" t="s">
        <v>27</v>
      </c>
      <c r="K839" t="s">
        <v>28</v>
      </c>
      <c r="L839" t="s">
        <v>1806</v>
      </c>
      <c r="M839" t="s">
        <v>47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31</v>
      </c>
      <c r="U839" t="s">
        <v>32</v>
      </c>
      <c r="V839">
        <f t="shared" si="53"/>
        <v>9399.6674999999996</v>
      </c>
      <c r="W839">
        <f t="shared" si="54"/>
        <v>2859.2974999999997</v>
      </c>
      <c r="X839">
        <f t="shared" si="55"/>
        <v>30.419134506619518</v>
      </c>
      <c r="Y839">
        <f t="shared" ref="Y839:Y902" si="56">C839-B839</f>
        <v>1</v>
      </c>
      <c r="Z839" t="str" cm="1">
        <f t="array" ref="Z839">_xlfn.IFS(Y839&lt;0, "Invalid Date", ISBLANK(G839), "Missing Region", TRUE, "Clean")</f>
        <v>Clean</v>
      </c>
    </row>
    <row r="840" spans="1:26">
      <c r="A840" t="s">
        <v>1807</v>
      </c>
      <c r="B840" s="4">
        <v>45750</v>
      </c>
      <c r="C840" s="6">
        <v>45842</v>
      </c>
      <c r="D840" t="s">
        <v>2753</v>
      </c>
      <c r="E840" t="s">
        <v>57</v>
      </c>
      <c r="F840" t="s">
        <v>35</v>
      </c>
      <c r="G840" t="s">
        <v>58</v>
      </c>
      <c r="H840" t="s">
        <v>159</v>
      </c>
      <c r="I840" t="s">
        <v>160</v>
      </c>
      <c r="J840" t="s">
        <v>27</v>
      </c>
      <c r="K840" t="s">
        <v>28</v>
      </c>
      <c r="L840" t="s">
        <v>1808</v>
      </c>
      <c r="M840" t="s">
        <v>42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31</v>
      </c>
      <c r="U840" t="s">
        <v>92</v>
      </c>
      <c r="V840">
        <f t="shared" si="53"/>
        <v>1470.57</v>
      </c>
      <c r="W840">
        <f t="shared" si="54"/>
        <v>636.54999999999995</v>
      </c>
      <c r="X840">
        <f t="shared" si="55"/>
        <v>43.285936745615643</v>
      </c>
      <c r="Y840">
        <f t="shared" si="56"/>
        <v>92</v>
      </c>
      <c r="Z840" t="str" cm="1">
        <f t="array" ref="Z840">_xlfn.IFS(Y840&lt;0, "Invalid Date", ISBLANK(G840), "Missing Region", TRUE, "Clean")</f>
        <v>Clean</v>
      </c>
    </row>
    <row r="841" spans="1:26">
      <c r="A841" t="s">
        <v>1809</v>
      </c>
      <c r="B841" s="4">
        <v>45555</v>
      </c>
      <c r="C841" s="6">
        <v>45557</v>
      </c>
      <c r="D841" t="s">
        <v>2754</v>
      </c>
      <c r="E841" t="s">
        <v>121</v>
      </c>
      <c r="F841" t="s">
        <v>85</v>
      </c>
      <c r="G841" t="s">
        <v>36</v>
      </c>
      <c r="H841" t="s">
        <v>37</v>
      </c>
      <c r="I841" t="s">
        <v>38</v>
      </c>
      <c r="J841" t="s">
        <v>68</v>
      </c>
      <c r="K841" t="s">
        <v>144</v>
      </c>
      <c r="L841" t="s">
        <v>1810</v>
      </c>
      <c r="M841" t="s">
        <v>55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31</v>
      </c>
      <c r="U841" t="s">
        <v>32</v>
      </c>
      <c r="V841">
        <f t="shared" si="53"/>
        <v>3826.2959999999998</v>
      </c>
      <c r="W841">
        <f t="shared" si="54"/>
        <v>1632.1759999999999</v>
      </c>
      <c r="X841">
        <f t="shared" si="55"/>
        <v>42.656814841298221</v>
      </c>
      <c r="Y841">
        <f t="shared" si="56"/>
        <v>2</v>
      </c>
      <c r="Z841" t="str" cm="1">
        <f t="array" ref="Z841">_xlfn.IFS(Y841&lt;0, "Invalid Date", ISBLANK(G841), "Missing Region", TRUE, "Clean")</f>
        <v>Clean</v>
      </c>
    </row>
    <row r="842" spans="1:26">
      <c r="A842" t="s">
        <v>1811</v>
      </c>
      <c r="B842" s="4">
        <v>45919</v>
      </c>
      <c r="C842" s="6">
        <v>45919</v>
      </c>
      <c r="D842" t="s">
        <v>2755</v>
      </c>
      <c r="E842" t="s">
        <v>72</v>
      </c>
      <c r="F842" t="s">
        <v>85</v>
      </c>
      <c r="G842" t="s">
        <v>24</v>
      </c>
      <c r="H842" t="s">
        <v>270</v>
      </c>
      <c r="I842" t="s">
        <v>271</v>
      </c>
      <c r="J842" t="s">
        <v>39</v>
      </c>
      <c r="K842" t="s">
        <v>61</v>
      </c>
      <c r="L842" t="s">
        <v>1812</v>
      </c>
      <c r="M842" t="s">
        <v>42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31</v>
      </c>
      <c r="U842" t="s">
        <v>32</v>
      </c>
      <c r="V842">
        <f t="shared" si="53"/>
        <v>6336.44</v>
      </c>
      <c r="W842">
        <f t="shared" si="54"/>
        <v>1655.7599999999993</v>
      </c>
      <c r="X842">
        <f t="shared" si="55"/>
        <v>26.130761121386765</v>
      </c>
      <c r="Y842">
        <f t="shared" si="56"/>
        <v>0</v>
      </c>
      <c r="Z842" t="str" cm="1">
        <f t="array" ref="Z842">_xlfn.IFS(Y842&lt;0, "Invalid Date", ISBLANK(G842), "Missing Region", TRUE, "Clean")</f>
        <v>Clean</v>
      </c>
    </row>
    <row r="843" spans="1:26">
      <c r="A843" t="s">
        <v>1813</v>
      </c>
      <c r="B843" s="4">
        <v>45810</v>
      </c>
      <c r="C843" s="6">
        <v>45993</v>
      </c>
      <c r="D843" t="s">
        <v>2756</v>
      </c>
      <c r="E843" t="s">
        <v>57</v>
      </c>
      <c r="F843" t="s">
        <v>35</v>
      </c>
      <c r="G843" t="s">
        <v>36</v>
      </c>
      <c r="H843" t="s">
        <v>124</v>
      </c>
      <c r="I843" t="s">
        <v>125</v>
      </c>
      <c r="J843" t="s">
        <v>27</v>
      </c>
      <c r="K843" t="s">
        <v>45</v>
      </c>
      <c r="L843" t="s">
        <v>1814</v>
      </c>
      <c r="M843" t="s">
        <v>55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31</v>
      </c>
      <c r="U843" t="s">
        <v>32</v>
      </c>
      <c r="V843">
        <f t="shared" si="53"/>
        <v>21850.829999999998</v>
      </c>
      <c r="W843">
        <f t="shared" si="54"/>
        <v>5250.6999999999971</v>
      </c>
      <c r="X843">
        <f t="shared" si="55"/>
        <v>24.029750814957591</v>
      </c>
      <c r="Y843">
        <f t="shared" si="56"/>
        <v>183</v>
      </c>
      <c r="Z843" t="str" cm="1">
        <f t="array" ref="Z843">_xlfn.IFS(Y843&lt;0, "Invalid Date", ISBLANK(G843), "Missing Region", TRUE, "Clean")</f>
        <v>Clean</v>
      </c>
    </row>
    <row r="844" spans="1:26">
      <c r="A844" t="s">
        <v>1815</v>
      </c>
      <c r="B844" s="4">
        <v>45382</v>
      </c>
      <c r="C844" s="6">
        <v>45381</v>
      </c>
      <c r="D844" t="s">
        <v>2757</v>
      </c>
      <c r="E844" t="s">
        <v>212</v>
      </c>
      <c r="F844" t="s">
        <v>23</v>
      </c>
      <c r="G844" t="s">
        <v>24</v>
      </c>
      <c r="H844" t="s">
        <v>192</v>
      </c>
      <c r="I844" t="s">
        <v>193</v>
      </c>
      <c r="J844" t="s">
        <v>68</v>
      </c>
      <c r="K844" t="s">
        <v>219</v>
      </c>
      <c r="L844" t="s">
        <v>1816</v>
      </c>
      <c r="M844" t="s">
        <v>47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31</v>
      </c>
      <c r="U844" t="s">
        <v>92</v>
      </c>
      <c r="V844">
        <f t="shared" si="53"/>
        <v>7453.0719999999992</v>
      </c>
      <c r="W844">
        <f t="shared" si="54"/>
        <v>2319.2919999999995</v>
      </c>
      <c r="X844">
        <f t="shared" si="55"/>
        <v>31.118604516365867</v>
      </c>
      <c r="Y844">
        <f t="shared" si="56"/>
        <v>-1</v>
      </c>
      <c r="Z844" t="str" cm="1">
        <f t="array" ref="Z844">_xlfn.IFS(Y844&lt;0, "Invalid Date", ISBLANK(G844), "Missing Region", TRUE, "Clean")</f>
        <v>Invalid Date</v>
      </c>
    </row>
    <row r="845" spans="1:26">
      <c r="A845" t="s">
        <v>1817</v>
      </c>
      <c r="B845" s="4">
        <v>45856</v>
      </c>
      <c r="C845" s="6">
        <v>45863</v>
      </c>
      <c r="D845" t="s">
        <v>2758</v>
      </c>
      <c r="E845" t="s">
        <v>100</v>
      </c>
      <c r="F845" t="s">
        <v>35</v>
      </c>
      <c r="G845" t="s">
        <v>24</v>
      </c>
      <c r="H845" t="s">
        <v>117</v>
      </c>
      <c r="I845" t="s">
        <v>118</v>
      </c>
      <c r="J845" t="s">
        <v>68</v>
      </c>
      <c r="K845" t="s">
        <v>144</v>
      </c>
      <c r="L845" t="s">
        <v>1818</v>
      </c>
      <c r="M845" t="s">
        <v>47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31</v>
      </c>
      <c r="U845" t="s">
        <v>32</v>
      </c>
      <c r="V845">
        <f t="shared" si="53"/>
        <v>36623.793600000005</v>
      </c>
      <c r="W845">
        <f t="shared" si="54"/>
        <v>12707.693600000006</v>
      </c>
      <c r="X845">
        <f t="shared" si="55"/>
        <v>34.697917257812435</v>
      </c>
      <c r="Y845">
        <f t="shared" si="56"/>
        <v>7</v>
      </c>
      <c r="Z845" t="str" cm="1">
        <f t="array" ref="Z845">_xlfn.IFS(Y845&lt;0, "Invalid Date", ISBLANK(G845), "Missing Region", TRUE, "Clean")</f>
        <v>Clean</v>
      </c>
    </row>
    <row r="846" spans="1:26">
      <c r="A846" t="s">
        <v>1819</v>
      </c>
      <c r="B846" s="4">
        <v>45677</v>
      </c>
      <c r="C846" s="6">
        <v>45682</v>
      </c>
      <c r="D846" t="s">
        <v>2110</v>
      </c>
      <c r="E846" t="s">
        <v>80</v>
      </c>
      <c r="F846" t="s">
        <v>85</v>
      </c>
      <c r="G846" t="s">
        <v>58</v>
      </c>
      <c r="H846" t="s">
        <v>159</v>
      </c>
      <c r="I846" t="s">
        <v>160</v>
      </c>
      <c r="J846" t="s">
        <v>27</v>
      </c>
      <c r="K846" t="s">
        <v>45</v>
      </c>
      <c r="L846" t="s">
        <v>1820</v>
      </c>
      <c r="M846" t="s">
        <v>47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31</v>
      </c>
      <c r="U846" t="s">
        <v>32</v>
      </c>
      <c r="V846">
        <f t="shared" si="53"/>
        <v>3515.15</v>
      </c>
      <c r="W846">
        <f t="shared" si="54"/>
        <v>1298.81</v>
      </c>
      <c r="X846">
        <f t="shared" si="55"/>
        <v>36.948921098672884</v>
      </c>
      <c r="Y846">
        <f t="shared" si="56"/>
        <v>5</v>
      </c>
      <c r="Z846" t="str" cm="1">
        <f t="array" ref="Z846">_xlfn.IFS(Y846&lt;0, "Invalid Date", ISBLANK(G846), "Missing Region", TRUE, "Clean")</f>
        <v>Clean</v>
      </c>
    </row>
    <row r="847" spans="1:26">
      <c r="A847" t="s">
        <v>1821</v>
      </c>
      <c r="B847" s="4">
        <v>45345</v>
      </c>
      <c r="C847" s="6">
        <v>45349</v>
      </c>
      <c r="D847" t="s">
        <v>2759</v>
      </c>
      <c r="E847" t="s">
        <v>22</v>
      </c>
      <c r="F847" t="s">
        <v>23</v>
      </c>
      <c r="G847" t="s">
        <v>36</v>
      </c>
      <c r="H847" t="s">
        <v>37</v>
      </c>
      <c r="I847" t="s">
        <v>38</v>
      </c>
      <c r="J847" t="s">
        <v>39</v>
      </c>
      <c r="K847" t="s">
        <v>40</v>
      </c>
      <c r="L847" t="s">
        <v>1822</v>
      </c>
      <c r="M847" t="s">
        <v>47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98</v>
      </c>
      <c r="U847" t="s">
        <v>92</v>
      </c>
      <c r="V847">
        <f t="shared" si="53"/>
        <v>24409.552499999998</v>
      </c>
      <c r="W847">
        <f t="shared" si="54"/>
        <v>7251.9724999999962</v>
      </c>
      <c r="X847">
        <f t="shared" si="55"/>
        <v>29.709567596538268</v>
      </c>
      <c r="Y847">
        <f t="shared" si="56"/>
        <v>4</v>
      </c>
      <c r="Z847" t="str" cm="1">
        <f t="array" ref="Z847">_xlfn.IFS(Y847&lt;0, "Invalid Date", ISBLANK(G847), "Missing Region", TRUE, "Clean")</f>
        <v>Clean</v>
      </c>
    </row>
    <row r="848" spans="1:26">
      <c r="A848" t="s">
        <v>1823</v>
      </c>
      <c r="B848" s="4">
        <v>45396</v>
      </c>
      <c r="C848" s="6">
        <v>45404</v>
      </c>
      <c r="D848" t="s">
        <v>2760</v>
      </c>
      <c r="E848" t="s">
        <v>100</v>
      </c>
      <c r="F848" t="s">
        <v>35</v>
      </c>
      <c r="G848" t="s">
        <v>58</v>
      </c>
      <c r="H848" t="s">
        <v>151</v>
      </c>
      <c r="I848" t="s">
        <v>152</v>
      </c>
      <c r="J848" t="s">
        <v>39</v>
      </c>
      <c r="K848" t="s">
        <v>134</v>
      </c>
      <c r="L848" t="s">
        <v>1824</v>
      </c>
      <c r="M848" t="s">
        <v>55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98</v>
      </c>
      <c r="U848" t="s">
        <v>92</v>
      </c>
      <c r="V848">
        <f t="shared" si="53"/>
        <v>7955.04</v>
      </c>
      <c r="W848">
        <f t="shared" si="54"/>
        <v>2374.3599999999997</v>
      </c>
      <c r="X848">
        <f t="shared" si="55"/>
        <v>29.847241497214338</v>
      </c>
      <c r="Y848">
        <f t="shared" si="56"/>
        <v>8</v>
      </c>
      <c r="Z848" t="str" cm="1">
        <f t="array" ref="Z848">_xlfn.IFS(Y848&lt;0, "Invalid Date", ISBLANK(G848), "Missing Region", TRUE, "Clean")</f>
        <v>Clean</v>
      </c>
    </row>
    <row r="849" spans="1:26">
      <c r="A849" t="s">
        <v>1825</v>
      </c>
      <c r="B849" s="4">
        <v>45797</v>
      </c>
      <c r="C849" s="6">
        <v>45799</v>
      </c>
      <c r="D849" t="s">
        <v>2761</v>
      </c>
      <c r="E849" t="s">
        <v>137</v>
      </c>
      <c r="F849" t="s">
        <v>85</v>
      </c>
      <c r="G849" t="s">
        <v>36</v>
      </c>
      <c r="H849" t="s">
        <v>37</v>
      </c>
      <c r="I849" t="s">
        <v>38</v>
      </c>
      <c r="J849" t="s">
        <v>39</v>
      </c>
      <c r="K849" t="s">
        <v>40</v>
      </c>
      <c r="L849" t="s">
        <v>1826</v>
      </c>
      <c r="M849" t="s">
        <v>30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31</v>
      </c>
      <c r="U849" t="s">
        <v>32</v>
      </c>
      <c r="V849">
        <f t="shared" si="53"/>
        <v>336.12800000000004</v>
      </c>
      <c r="W849">
        <f t="shared" si="54"/>
        <v>93.938000000000045</v>
      </c>
      <c r="X849">
        <f t="shared" si="55"/>
        <v>27.947091584158422</v>
      </c>
      <c r="Y849">
        <f t="shared" si="56"/>
        <v>2</v>
      </c>
      <c r="Z849" t="str" cm="1">
        <f t="array" ref="Z849">_xlfn.IFS(Y849&lt;0, "Invalid Date", ISBLANK(G849), "Missing Region", TRUE, "Clean")</f>
        <v>Clean</v>
      </c>
    </row>
    <row r="850" spans="1:26">
      <c r="A850" t="s">
        <v>1827</v>
      </c>
      <c r="B850" s="4">
        <v>45804</v>
      </c>
      <c r="C850" s="6">
        <v>45806</v>
      </c>
      <c r="D850" t="s">
        <v>2762</v>
      </c>
      <c r="E850" t="s">
        <v>103</v>
      </c>
      <c r="F850" t="s">
        <v>85</v>
      </c>
      <c r="G850" t="s">
        <v>50</v>
      </c>
      <c r="H850" t="s">
        <v>200</v>
      </c>
      <c r="I850" t="s">
        <v>201</v>
      </c>
      <c r="J850" t="s">
        <v>39</v>
      </c>
      <c r="K850" t="s">
        <v>53</v>
      </c>
      <c r="L850" t="s">
        <v>1828</v>
      </c>
      <c r="M850" t="s">
        <v>30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31</v>
      </c>
      <c r="U850" t="s">
        <v>32</v>
      </c>
      <c r="V850">
        <f t="shared" si="53"/>
        <v>1308.2624999999998</v>
      </c>
      <c r="W850">
        <f t="shared" si="54"/>
        <v>224.70249999999987</v>
      </c>
      <c r="X850">
        <f t="shared" si="55"/>
        <v>17.175643267310644</v>
      </c>
      <c r="Y850">
        <f t="shared" si="56"/>
        <v>2</v>
      </c>
      <c r="Z850" t="str" cm="1">
        <f t="array" ref="Z850">_xlfn.IFS(Y850&lt;0, "Invalid Date", ISBLANK(G850), "Missing Region", TRUE, "Clean")</f>
        <v>Clean</v>
      </c>
    </row>
    <row r="851" spans="1:26">
      <c r="A851" t="s">
        <v>1829</v>
      </c>
      <c r="B851" s="4">
        <v>45446</v>
      </c>
      <c r="C851" s="6">
        <v>45629</v>
      </c>
      <c r="D851" t="s">
        <v>2763</v>
      </c>
      <c r="E851" t="s">
        <v>44</v>
      </c>
      <c r="F851" t="s">
        <v>85</v>
      </c>
      <c r="G851" t="s">
        <v>58</v>
      </c>
      <c r="H851" t="s">
        <v>151</v>
      </c>
      <c r="I851" t="s">
        <v>152</v>
      </c>
      <c r="J851" t="s">
        <v>39</v>
      </c>
      <c r="K851" t="s">
        <v>134</v>
      </c>
      <c r="L851" t="s">
        <v>1830</v>
      </c>
      <c r="M851" t="s">
        <v>55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31</v>
      </c>
      <c r="U851" t="s">
        <v>32</v>
      </c>
      <c r="V851">
        <f t="shared" si="53"/>
        <v>1631.1120000000001</v>
      </c>
      <c r="W851">
        <f t="shared" si="54"/>
        <v>732.38200000000006</v>
      </c>
      <c r="X851">
        <f t="shared" si="55"/>
        <v>44.900779345624336</v>
      </c>
      <c r="Y851">
        <f t="shared" si="56"/>
        <v>183</v>
      </c>
      <c r="Z851" t="str" cm="1">
        <f t="array" ref="Z851">_xlfn.IFS(Y851&lt;0, "Invalid Date", ISBLANK(G851), "Missing Region", TRUE, "Clean")</f>
        <v>Clean</v>
      </c>
    </row>
    <row r="852" spans="1:26">
      <c r="A852" t="s">
        <v>1831</v>
      </c>
      <c r="B852" s="4">
        <v>45473</v>
      </c>
      <c r="C852" s="6">
        <v>45358</v>
      </c>
      <c r="D852" t="s">
        <v>2764</v>
      </c>
      <c r="E852" t="s">
        <v>100</v>
      </c>
      <c r="F852" t="s">
        <v>85</v>
      </c>
      <c r="G852" t="s">
        <v>36</v>
      </c>
      <c r="H852" t="s">
        <v>88</v>
      </c>
      <c r="I852" t="s">
        <v>89</v>
      </c>
      <c r="J852" t="s">
        <v>27</v>
      </c>
      <c r="K852" t="s">
        <v>28</v>
      </c>
      <c r="L852" t="s">
        <v>1832</v>
      </c>
      <c r="M852" t="s">
        <v>47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31</v>
      </c>
      <c r="U852" t="s">
        <v>32</v>
      </c>
      <c r="V852">
        <f t="shared" si="53"/>
        <v>7266.0599999999995</v>
      </c>
      <c r="W852">
        <f t="shared" si="54"/>
        <v>1049.1699999999992</v>
      </c>
      <c r="X852">
        <f t="shared" si="55"/>
        <v>14.439324750965438</v>
      </c>
      <c r="Y852">
        <f t="shared" si="56"/>
        <v>-115</v>
      </c>
      <c r="Z852" t="str" cm="1">
        <f t="array" ref="Z852">_xlfn.IFS(Y852&lt;0, "Invalid Date", ISBLANK(G852), "Missing Region", TRUE, "Clean")</f>
        <v>Invalid Date</v>
      </c>
    </row>
    <row r="853" spans="1:26">
      <c r="A853" t="s">
        <v>1833</v>
      </c>
      <c r="B853" s="4">
        <v>45377</v>
      </c>
      <c r="C853" s="6">
        <v>45295</v>
      </c>
      <c r="D853" t="s">
        <v>2765</v>
      </c>
      <c r="E853" t="s">
        <v>22</v>
      </c>
      <c r="F853" t="s">
        <v>35</v>
      </c>
      <c r="G853" t="s">
        <v>58</v>
      </c>
      <c r="H853" t="s">
        <v>151</v>
      </c>
      <c r="I853" t="s">
        <v>152</v>
      </c>
      <c r="J853" t="s">
        <v>68</v>
      </c>
      <c r="K853" t="s">
        <v>69</v>
      </c>
      <c r="L853" t="s">
        <v>1834</v>
      </c>
      <c r="M853" t="s">
        <v>47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31</v>
      </c>
      <c r="U853" t="s">
        <v>32</v>
      </c>
      <c r="V853">
        <f t="shared" si="53"/>
        <v>1858.08</v>
      </c>
      <c r="W853">
        <f t="shared" si="54"/>
        <v>267.32999999999993</v>
      </c>
      <c r="X853">
        <f t="shared" si="55"/>
        <v>14.387432188065096</v>
      </c>
      <c r="Y853">
        <f t="shared" si="56"/>
        <v>-82</v>
      </c>
      <c r="Z853" t="str" cm="1">
        <f t="array" ref="Z853">_xlfn.IFS(Y853&lt;0, "Invalid Date", ISBLANK(G853), "Missing Region", TRUE, "Clean")</f>
        <v>Invalid Date</v>
      </c>
    </row>
    <row r="854" spans="1:26">
      <c r="A854" t="s">
        <v>1835</v>
      </c>
      <c r="B854" s="4">
        <v>45295</v>
      </c>
      <c r="C854" s="6">
        <v>45508</v>
      </c>
      <c r="D854" t="s">
        <v>2766</v>
      </c>
      <c r="E854" t="s">
        <v>57</v>
      </c>
      <c r="F854" t="s">
        <v>23</v>
      </c>
      <c r="G854" t="s">
        <v>36</v>
      </c>
      <c r="H854" t="s">
        <v>140</v>
      </c>
      <c r="I854" t="s">
        <v>141</v>
      </c>
      <c r="J854" t="s">
        <v>39</v>
      </c>
      <c r="K854" t="s">
        <v>40</v>
      </c>
      <c r="L854" t="s">
        <v>1836</v>
      </c>
      <c r="M854" t="s">
        <v>30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98</v>
      </c>
      <c r="U854" t="s">
        <v>63</v>
      </c>
      <c r="V854">
        <f t="shared" si="53"/>
        <v>25021.832500000004</v>
      </c>
      <c r="W854">
        <f t="shared" si="54"/>
        <v>9477.3925000000036</v>
      </c>
      <c r="X854">
        <f t="shared" si="55"/>
        <v>37.876492459135449</v>
      </c>
      <c r="Y854">
        <f t="shared" si="56"/>
        <v>213</v>
      </c>
      <c r="Z854" t="str" cm="1">
        <f t="array" ref="Z854">_xlfn.IFS(Y854&lt;0, "Invalid Date", ISBLANK(G854), "Missing Region", TRUE, "Clean")</f>
        <v>Clean</v>
      </c>
    </row>
    <row r="855" spans="1:26">
      <c r="A855" t="s">
        <v>1837</v>
      </c>
      <c r="B855" s="4">
        <v>45793</v>
      </c>
      <c r="C855" s="6">
        <v>45799</v>
      </c>
      <c r="D855" t="s">
        <v>2767</v>
      </c>
      <c r="E855" t="s">
        <v>49</v>
      </c>
      <c r="F855" t="s">
        <v>81</v>
      </c>
      <c r="G855" t="s">
        <v>50</v>
      </c>
      <c r="H855" t="s">
        <v>200</v>
      </c>
      <c r="I855" t="s">
        <v>201</v>
      </c>
      <c r="J855" t="s">
        <v>68</v>
      </c>
      <c r="K855" t="s">
        <v>69</v>
      </c>
      <c r="L855" t="s">
        <v>1838</v>
      </c>
      <c r="M855" t="s">
        <v>42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31</v>
      </c>
      <c r="U855" t="s">
        <v>32</v>
      </c>
      <c r="V855">
        <f t="shared" si="53"/>
        <v>3710.72</v>
      </c>
      <c r="W855">
        <f t="shared" si="54"/>
        <v>595.42999999999984</v>
      </c>
      <c r="X855">
        <f t="shared" si="55"/>
        <v>16.046212055881334</v>
      </c>
      <c r="Y855">
        <f t="shared" si="56"/>
        <v>6</v>
      </c>
      <c r="Z855" t="str" cm="1">
        <f t="array" ref="Z855">_xlfn.IFS(Y855&lt;0, "Invalid Date", ISBLANK(G855), "Missing Region", TRUE, "Clean")</f>
        <v>Clean</v>
      </c>
    </row>
    <row r="856" spans="1:26">
      <c r="A856" t="s">
        <v>1839</v>
      </c>
      <c r="B856" s="4">
        <v>45741</v>
      </c>
      <c r="C856" s="6">
        <v>45749</v>
      </c>
      <c r="D856" t="s">
        <v>2283</v>
      </c>
      <c r="E856" t="s">
        <v>100</v>
      </c>
      <c r="F856" t="s">
        <v>23</v>
      </c>
      <c r="G856" t="s">
        <v>50</v>
      </c>
      <c r="H856" t="s">
        <v>147</v>
      </c>
      <c r="I856" t="s">
        <v>148</v>
      </c>
      <c r="J856" t="s">
        <v>39</v>
      </c>
      <c r="K856" t="s">
        <v>134</v>
      </c>
      <c r="L856" t="s">
        <v>1840</v>
      </c>
      <c r="M856" t="s">
        <v>30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31</v>
      </c>
      <c r="U856" t="s">
        <v>32</v>
      </c>
      <c r="V856">
        <f t="shared" si="53"/>
        <v>8487.8319999999985</v>
      </c>
      <c r="W856">
        <f t="shared" si="54"/>
        <v>3242.1119999999983</v>
      </c>
      <c r="X856">
        <f t="shared" si="55"/>
        <v>38.197174496384925</v>
      </c>
      <c r="Y856">
        <f t="shared" si="56"/>
        <v>8</v>
      </c>
      <c r="Z856" t="str" cm="1">
        <f t="array" ref="Z856">_xlfn.IFS(Y856&lt;0, "Invalid Date", ISBLANK(G856), "Missing Region", TRUE, "Clean")</f>
        <v>Clean</v>
      </c>
    </row>
    <row r="857" spans="1:26">
      <c r="A857" t="s">
        <v>1841</v>
      </c>
      <c r="B857" s="4">
        <v>45498</v>
      </c>
      <c r="C857" s="6">
        <v>45330</v>
      </c>
      <c r="D857" t="s">
        <v>2341</v>
      </c>
      <c r="E857" t="s">
        <v>103</v>
      </c>
      <c r="F857" t="s">
        <v>23</v>
      </c>
      <c r="G857" t="s">
        <v>24</v>
      </c>
      <c r="H857" t="s">
        <v>25</v>
      </c>
      <c r="I857" t="s">
        <v>26</v>
      </c>
      <c r="J857" t="s">
        <v>27</v>
      </c>
      <c r="K857" t="s">
        <v>1842</v>
      </c>
      <c r="L857" t="s">
        <v>1843</v>
      </c>
      <c r="M857" t="s">
        <v>30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31</v>
      </c>
      <c r="U857" t="s">
        <v>32</v>
      </c>
      <c r="V857">
        <f t="shared" si="53"/>
        <v>3110.2950000000001</v>
      </c>
      <c r="W857">
        <f t="shared" si="54"/>
        <v>1009.2649999999999</v>
      </c>
      <c r="X857">
        <f t="shared" si="55"/>
        <v>32.449172827657826</v>
      </c>
      <c r="Y857">
        <f t="shared" si="56"/>
        <v>-168</v>
      </c>
      <c r="Z857" t="str" cm="1">
        <f t="array" ref="Z857">_xlfn.IFS(Y857&lt;0, "Invalid Date", ISBLANK(G857), "Missing Region", TRUE, "Clean")</f>
        <v>Invalid Date</v>
      </c>
    </row>
    <row r="858" spans="1:26">
      <c r="A858" t="s">
        <v>1844</v>
      </c>
      <c r="B858" s="4">
        <v>45632</v>
      </c>
      <c r="C858" s="6">
        <v>45462</v>
      </c>
      <c r="D858" t="s">
        <v>2611</v>
      </c>
      <c r="E858" t="s">
        <v>121</v>
      </c>
      <c r="F858" t="s">
        <v>85</v>
      </c>
      <c r="G858" t="s">
        <v>50</v>
      </c>
      <c r="H858" t="s">
        <v>200</v>
      </c>
      <c r="I858" t="s">
        <v>201</v>
      </c>
      <c r="J858" t="s">
        <v>27</v>
      </c>
      <c r="K858" t="s">
        <v>108</v>
      </c>
      <c r="L858" t="s">
        <v>1845</v>
      </c>
      <c r="M858" t="s">
        <v>55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132</v>
      </c>
      <c r="U858" t="s">
        <v>63</v>
      </c>
      <c r="V858">
        <f t="shared" si="53"/>
        <v>1833.2639999999999</v>
      </c>
      <c r="W858">
        <f t="shared" si="54"/>
        <v>866.71399999999994</v>
      </c>
      <c r="X858">
        <f t="shared" si="55"/>
        <v>47.277097024760209</v>
      </c>
      <c r="Y858">
        <f t="shared" si="56"/>
        <v>-170</v>
      </c>
      <c r="Z858" t="str" cm="1">
        <f t="array" ref="Z858">_xlfn.IFS(Y858&lt;0, "Invalid Date", ISBLANK(G858), "Missing Region", TRUE, "Clean")</f>
        <v>Invalid Date</v>
      </c>
    </row>
    <row r="859" spans="1:26">
      <c r="A859" t="s">
        <v>1846</v>
      </c>
      <c r="B859" s="4">
        <v>45388</v>
      </c>
      <c r="C859" s="6">
        <v>45388</v>
      </c>
      <c r="D859" t="s">
        <v>2768</v>
      </c>
      <c r="E859" t="s">
        <v>114</v>
      </c>
      <c r="F859" t="s">
        <v>85</v>
      </c>
      <c r="G859" t="s">
        <v>50</v>
      </c>
      <c r="H859" t="s">
        <v>155</v>
      </c>
      <c r="I859" t="s">
        <v>156</v>
      </c>
      <c r="J859" t="s">
        <v>27</v>
      </c>
      <c r="K859" t="s">
        <v>108</v>
      </c>
      <c r="L859" t="s">
        <v>1847</v>
      </c>
      <c r="M859" t="s">
        <v>47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31</v>
      </c>
      <c r="U859" t="s">
        <v>32</v>
      </c>
      <c r="V859">
        <f t="shared" si="53"/>
        <v>12190.365</v>
      </c>
      <c r="W859">
        <f t="shared" si="54"/>
        <v>2013.375</v>
      </c>
      <c r="X859">
        <f t="shared" si="55"/>
        <v>16.516117441930575</v>
      </c>
      <c r="Y859">
        <f t="shared" si="56"/>
        <v>0</v>
      </c>
      <c r="Z859" t="str" cm="1">
        <f t="array" ref="Z859">_xlfn.IFS(Y859&lt;0, "Invalid Date", ISBLANK(G859), "Missing Region", TRUE, "Clean")</f>
        <v>Clean</v>
      </c>
    </row>
    <row r="860" spans="1:26">
      <c r="A860" t="s">
        <v>1848</v>
      </c>
      <c r="B860" s="4">
        <v>45414</v>
      </c>
      <c r="C860" s="6">
        <v>45540</v>
      </c>
      <c r="D860" t="s">
        <v>2769</v>
      </c>
      <c r="E860" t="s">
        <v>49</v>
      </c>
      <c r="F860" t="s">
        <v>23</v>
      </c>
      <c r="G860" t="s">
        <v>36</v>
      </c>
      <c r="H860" t="s">
        <v>37</v>
      </c>
      <c r="I860" t="s">
        <v>38</v>
      </c>
      <c r="J860" t="s">
        <v>68</v>
      </c>
      <c r="K860" t="s">
        <v>69</v>
      </c>
      <c r="L860" t="s">
        <v>1849</v>
      </c>
      <c r="M860" t="s">
        <v>30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31</v>
      </c>
      <c r="U860" t="s">
        <v>32</v>
      </c>
      <c r="V860">
        <f t="shared" si="53"/>
        <v>11619.44</v>
      </c>
      <c r="W860">
        <f t="shared" si="54"/>
        <v>4435.1200000000008</v>
      </c>
      <c r="X860">
        <f t="shared" si="55"/>
        <v>38.169825740311069</v>
      </c>
      <c r="Y860">
        <f t="shared" si="56"/>
        <v>126</v>
      </c>
      <c r="Z860" t="str" cm="1">
        <f t="array" ref="Z860">_xlfn.IFS(Y860&lt;0, "Invalid Date", ISBLANK(G860), "Missing Region", TRUE, "Clean")</f>
        <v>Clean</v>
      </c>
    </row>
    <row r="861" spans="1:26">
      <c r="A861" t="s">
        <v>1850</v>
      </c>
      <c r="B861" s="4">
        <v>45592</v>
      </c>
      <c r="C861" s="6">
        <v>45302</v>
      </c>
      <c r="D861" t="s">
        <v>2770</v>
      </c>
      <c r="E861" t="s">
        <v>80</v>
      </c>
      <c r="F861" t="s">
        <v>81</v>
      </c>
      <c r="G861" t="s">
        <v>50</v>
      </c>
      <c r="H861" t="s">
        <v>200</v>
      </c>
      <c r="I861" t="s">
        <v>201</v>
      </c>
      <c r="J861" t="s">
        <v>68</v>
      </c>
      <c r="K861" t="s">
        <v>144</v>
      </c>
      <c r="L861" t="s">
        <v>1851</v>
      </c>
      <c r="M861" t="s">
        <v>55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31</v>
      </c>
      <c r="U861" t="s">
        <v>32</v>
      </c>
      <c r="V861">
        <f t="shared" si="53"/>
        <v>25075.439999999995</v>
      </c>
      <c r="W861">
        <f t="shared" si="54"/>
        <v>8792.6999999999953</v>
      </c>
      <c r="X861">
        <f t="shared" si="55"/>
        <v>35.06498789253547</v>
      </c>
      <c r="Y861">
        <f t="shared" si="56"/>
        <v>-290</v>
      </c>
      <c r="Z861" t="str" cm="1">
        <f t="array" ref="Z861">_xlfn.IFS(Y861&lt;0, "Invalid Date", ISBLANK(G861), "Missing Region", TRUE, "Clean")</f>
        <v>Invalid Date</v>
      </c>
    </row>
    <row r="862" spans="1:26">
      <c r="A862" t="s">
        <v>1852</v>
      </c>
      <c r="B862" s="4">
        <v>45324</v>
      </c>
      <c r="C862" s="6">
        <v>45384</v>
      </c>
      <c r="D862" t="s">
        <v>2771</v>
      </c>
      <c r="E862" t="s">
        <v>65</v>
      </c>
      <c r="F862" t="s">
        <v>85</v>
      </c>
      <c r="G862" t="s">
        <v>24</v>
      </c>
      <c r="H862" t="s">
        <v>117</v>
      </c>
      <c r="I862" t="s">
        <v>118</v>
      </c>
      <c r="J862" t="s">
        <v>27</v>
      </c>
      <c r="K862" t="s">
        <v>108</v>
      </c>
      <c r="L862" t="s">
        <v>1853</v>
      </c>
      <c r="M862" t="s">
        <v>30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31</v>
      </c>
      <c r="U862" t="s">
        <v>32</v>
      </c>
      <c r="V862">
        <f t="shared" si="53"/>
        <v>4177.4539999999997</v>
      </c>
      <c r="W862">
        <f t="shared" si="54"/>
        <v>1877.9539999999997</v>
      </c>
      <c r="X862">
        <f t="shared" si="55"/>
        <v>44.954510570313879</v>
      </c>
      <c r="Y862">
        <f t="shared" si="56"/>
        <v>60</v>
      </c>
      <c r="Z862" t="str" cm="1">
        <f t="array" ref="Z862">_xlfn.IFS(Y862&lt;0, "Invalid Date", ISBLANK(G862), "Missing Region", TRUE, "Clean")</f>
        <v>Clean</v>
      </c>
    </row>
    <row r="863" spans="1:26">
      <c r="A863" t="s">
        <v>1854</v>
      </c>
      <c r="B863" s="4">
        <v>45872</v>
      </c>
      <c r="C863" s="6">
        <v>45903</v>
      </c>
      <c r="D863" t="s">
        <v>2772</v>
      </c>
      <c r="E863" t="s">
        <v>100</v>
      </c>
      <c r="F863" t="s">
        <v>85</v>
      </c>
      <c r="G863" t="s">
        <v>24</v>
      </c>
      <c r="H863" t="s">
        <v>270</v>
      </c>
      <c r="I863" t="s">
        <v>271</v>
      </c>
      <c r="J863" t="s">
        <v>39</v>
      </c>
      <c r="K863" t="s">
        <v>53</v>
      </c>
      <c r="L863" t="s">
        <v>1855</v>
      </c>
      <c r="M863" t="s">
        <v>42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31</v>
      </c>
      <c r="U863" t="s">
        <v>32</v>
      </c>
      <c r="V863">
        <f t="shared" si="53"/>
        <v>10898.175999999999</v>
      </c>
      <c r="W863">
        <f t="shared" si="54"/>
        <v>4666.7659999999996</v>
      </c>
      <c r="X863">
        <f t="shared" si="55"/>
        <v>42.8215327041883</v>
      </c>
      <c r="Y863">
        <f t="shared" si="56"/>
        <v>31</v>
      </c>
      <c r="Z863" t="str" cm="1">
        <f t="array" ref="Z863">_xlfn.IFS(Y863&lt;0, "Invalid Date", ISBLANK(G863), "Missing Region", TRUE, "Clean")</f>
        <v>Clean</v>
      </c>
    </row>
    <row r="864" spans="1:26">
      <c r="A864" t="s">
        <v>1856</v>
      </c>
      <c r="B864" s="4">
        <v>45742</v>
      </c>
      <c r="C864" s="6">
        <v>45747</v>
      </c>
      <c r="D864" t="s">
        <v>2773</v>
      </c>
      <c r="E864" t="s">
        <v>100</v>
      </c>
      <c r="F864" t="s">
        <v>35</v>
      </c>
      <c r="G864" t="s">
        <v>36</v>
      </c>
      <c r="H864" t="s">
        <v>186</v>
      </c>
      <c r="I864" t="s">
        <v>187</v>
      </c>
      <c r="J864" t="s">
        <v>27</v>
      </c>
      <c r="K864" t="s">
        <v>130</v>
      </c>
      <c r="L864" t="s">
        <v>1857</v>
      </c>
      <c r="M864" t="s">
        <v>47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31</v>
      </c>
      <c r="U864" t="s">
        <v>63</v>
      </c>
      <c r="V864">
        <f t="shared" si="53"/>
        <v>6975.7000000000007</v>
      </c>
      <c r="W864">
        <f t="shared" si="54"/>
        <v>2177.8200000000006</v>
      </c>
      <c r="X864">
        <f t="shared" si="55"/>
        <v>31.22009260719355</v>
      </c>
      <c r="Y864">
        <f t="shared" si="56"/>
        <v>5</v>
      </c>
      <c r="Z864" t="str" cm="1">
        <f t="array" ref="Z864">_xlfn.IFS(Y864&lt;0, "Invalid Date", ISBLANK(G864), "Missing Region", TRUE, "Clean")</f>
        <v>Clean</v>
      </c>
    </row>
    <row r="865" spans="1:26">
      <c r="A865" t="s">
        <v>1858</v>
      </c>
      <c r="B865" s="4">
        <v>45906</v>
      </c>
      <c r="C865" s="6">
        <v>45908</v>
      </c>
      <c r="D865" t="s">
        <v>2774</v>
      </c>
      <c r="E865" t="s">
        <v>111</v>
      </c>
      <c r="F865" t="s">
        <v>85</v>
      </c>
      <c r="G865" t="s">
        <v>58</v>
      </c>
      <c r="H865" t="s">
        <v>66</v>
      </c>
      <c r="I865" t="s">
        <v>67</v>
      </c>
      <c r="J865" t="s">
        <v>39</v>
      </c>
      <c r="K865" t="s">
        <v>53</v>
      </c>
      <c r="L865" t="s">
        <v>1859</v>
      </c>
      <c r="M865" t="s">
        <v>42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31</v>
      </c>
      <c r="U865" t="s">
        <v>32</v>
      </c>
      <c r="V865">
        <f t="shared" si="53"/>
        <v>8811.69</v>
      </c>
      <c r="W865">
        <f t="shared" si="54"/>
        <v>2045.7800000000007</v>
      </c>
      <c r="X865">
        <f t="shared" si="55"/>
        <v>23.216658779416893</v>
      </c>
      <c r="Y865">
        <f t="shared" si="56"/>
        <v>2</v>
      </c>
      <c r="Z865" t="str" cm="1">
        <f t="array" ref="Z865">_xlfn.IFS(Y865&lt;0, "Invalid Date", ISBLANK(G865), "Missing Region", TRUE, "Clean")</f>
        <v>Clean</v>
      </c>
    </row>
    <row r="866" spans="1:26">
      <c r="A866" t="s">
        <v>1860</v>
      </c>
      <c r="B866" s="4">
        <v>45697</v>
      </c>
      <c r="C866" s="6">
        <v>45786</v>
      </c>
      <c r="D866" t="s">
        <v>2775</v>
      </c>
      <c r="E866" t="s">
        <v>65</v>
      </c>
      <c r="F866" t="s">
        <v>23</v>
      </c>
      <c r="G866" t="s">
        <v>50</v>
      </c>
      <c r="H866" t="s">
        <v>200</v>
      </c>
      <c r="I866" t="s">
        <v>201</v>
      </c>
      <c r="J866" t="s">
        <v>68</v>
      </c>
      <c r="K866" t="s">
        <v>144</v>
      </c>
      <c r="L866" t="s">
        <v>1861</v>
      </c>
      <c r="M866" t="s">
        <v>47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31</v>
      </c>
      <c r="U866" t="s">
        <v>32</v>
      </c>
      <c r="V866">
        <f t="shared" si="53"/>
        <v>17034.349999999999</v>
      </c>
      <c r="W866">
        <f t="shared" si="54"/>
        <v>2402.989999999998</v>
      </c>
      <c r="X866">
        <f t="shared" si="55"/>
        <v>14.106731398615141</v>
      </c>
      <c r="Y866">
        <f t="shared" si="56"/>
        <v>89</v>
      </c>
      <c r="Z866" t="str" cm="1">
        <f t="array" ref="Z866">_xlfn.IFS(Y866&lt;0, "Invalid Date", ISBLANK(G866), "Missing Region", TRUE, "Clean")</f>
        <v>Clean</v>
      </c>
    </row>
    <row r="867" spans="1:26">
      <c r="A867" t="s">
        <v>1862</v>
      </c>
      <c r="B867" s="4">
        <v>45810</v>
      </c>
      <c r="C867" s="6">
        <v>45702</v>
      </c>
      <c r="D867" t="s">
        <v>2776</v>
      </c>
      <c r="E867" t="s">
        <v>212</v>
      </c>
      <c r="F867" t="s">
        <v>23</v>
      </c>
      <c r="G867" t="s">
        <v>58</v>
      </c>
      <c r="H867" t="s">
        <v>59</v>
      </c>
      <c r="I867" t="s">
        <v>60</v>
      </c>
      <c r="J867" t="s">
        <v>27</v>
      </c>
      <c r="K867" t="s">
        <v>82</v>
      </c>
      <c r="L867" t="s">
        <v>1863</v>
      </c>
      <c r="M867" t="s">
        <v>30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31</v>
      </c>
      <c r="U867" t="s">
        <v>32</v>
      </c>
      <c r="V867">
        <f t="shared" si="53"/>
        <v>7984.08</v>
      </c>
      <c r="W867">
        <f t="shared" si="54"/>
        <v>2326.0299999999997</v>
      </c>
      <c r="X867">
        <f t="shared" si="55"/>
        <v>29.133350367230786</v>
      </c>
      <c r="Y867">
        <f t="shared" si="56"/>
        <v>-108</v>
      </c>
      <c r="Z867" t="str" cm="1">
        <f t="array" ref="Z867">_xlfn.IFS(Y867&lt;0, "Invalid Date", ISBLANK(G867), "Missing Region", TRUE, "Clean")</f>
        <v>Invalid Date</v>
      </c>
    </row>
    <row r="868" spans="1:26">
      <c r="A868" t="s">
        <v>1864</v>
      </c>
      <c r="B868" s="4">
        <v>45714</v>
      </c>
      <c r="C868" s="6">
        <v>45811</v>
      </c>
      <c r="D868" t="s">
        <v>2777</v>
      </c>
      <c r="E868" t="s">
        <v>100</v>
      </c>
      <c r="F868" t="s">
        <v>23</v>
      </c>
      <c r="G868" t="s">
        <v>36</v>
      </c>
      <c r="H868" t="s">
        <v>124</v>
      </c>
      <c r="I868" t="s">
        <v>125</v>
      </c>
      <c r="J868" t="s">
        <v>39</v>
      </c>
      <c r="K868" t="s">
        <v>134</v>
      </c>
      <c r="L868" t="s">
        <v>1865</v>
      </c>
      <c r="M868" t="s">
        <v>47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98</v>
      </c>
      <c r="U868" t="s">
        <v>63</v>
      </c>
      <c r="V868">
        <f t="shared" si="53"/>
        <v>21912.263999999999</v>
      </c>
      <c r="W868">
        <f t="shared" si="54"/>
        <v>5544.4839999999986</v>
      </c>
      <c r="X868">
        <f t="shared" si="55"/>
        <v>25.303108797885965</v>
      </c>
      <c r="Y868">
        <f t="shared" si="56"/>
        <v>97</v>
      </c>
      <c r="Z868" t="str" cm="1">
        <f t="array" ref="Z868">_xlfn.IFS(Y868&lt;0, "Invalid Date", ISBLANK(G868), "Missing Region", TRUE, "Clean")</f>
        <v>Clean</v>
      </c>
    </row>
    <row r="869" spans="1:26">
      <c r="A869" t="s">
        <v>1866</v>
      </c>
      <c r="B869" s="4">
        <v>45617</v>
      </c>
      <c r="C869" s="6">
        <v>45618</v>
      </c>
      <c r="D869" t="s">
        <v>2778</v>
      </c>
      <c r="E869" t="s">
        <v>103</v>
      </c>
      <c r="F869" t="s">
        <v>85</v>
      </c>
      <c r="G869" t="s">
        <v>50</v>
      </c>
      <c r="H869" t="s">
        <v>76</v>
      </c>
      <c r="I869" t="s">
        <v>77</v>
      </c>
      <c r="J869" t="s">
        <v>68</v>
      </c>
      <c r="K869" t="s">
        <v>69</v>
      </c>
      <c r="L869" t="s">
        <v>1867</v>
      </c>
      <c r="M869" t="s">
        <v>42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132</v>
      </c>
      <c r="U869" t="s">
        <v>63</v>
      </c>
      <c r="V869">
        <f t="shared" si="53"/>
        <v>4695.7049999999999</v>
      </c>
      <c r="W869">
        <f t="shared" si="54"/>
        <v>824.01499999999987</v>
      </c>
      <c r="X869">
        <f t="shared" si="55"/>
        <v>17.548270174553128</v>
      </c>
      <c r="Y869">
        <f t="shared" si="56"/>
        <v>1</v>
      </c>
      <c r="Z869" t="str" cm="1">
        <f t="array" ref="Z869">_xlfn.IFS(Y869&lt;0, "Invalid Date", ISBLANK(G869), "Missing Region", TRUE, "Clean")</f>
        <v>Clean</v>
      </c>
    </row>
    <row r="870" spans="1:26">
      <c r="A870" t="s">
        <v>1868</v>
      </c>
      <c r="B870" s="4">
        <v>45965</v>
      </c>
      <c r="C870" s="6">
        <v>45762</v>
      </c>
      <c r="D870" t="s">
        <v>2779</v>
      </c>
      <c r="E870" t="s">
        <v>65</v>
      </c>
      <c r="F870" t="s">
        <v>85</v>
      </c>
      <c r="G870" t="s">
        <v>50</v>
      </c>
      <c r="H870" t="s">
        <v>147</v>
      </c>
      <c r="I870" t="s">
        <v>148</v>
      </c>
      <c r="J870" t="s">
        <v>27</v>
      </c>
      <c r="K870" t="s">
        <v>108</v>
      </c>
      <c r="L870" t="s">
        <v>1869</v>
      </c>
      <c r="M870" t="s">
        <v>42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31</v>
      </c>
      <c r="U870" t="s">
        <v>32</v>
      </c>
      <c r="V870">
        <f t="shared" si="53"/>
        <v>1923.2369999999999</v>
      </c>
      <c r="W870">
        <f t="shared" si="54"/>
        <v>829.57699999999977</v>
      </c>
      <c r="X870">
        <f t="shared" si="55"/>
        <v>43.134413491420965</v>
      </c>
      <c r="Y870">
        <f t="shared" si="56"/>
        <v>-203</v>
      </c>
      <c r="Z870" t="str" cm="1">
        <f t="array" ref="Z870">_xlfn.IFS(Y870&lt;0, "Invalid Date", ISBLANK(G870), "Missing Region", TRUE, "Clean")</f>
        <v>Invalid Date</v>
      </c>
    </row>
    <row r="871" spans="1:26">
      <c r="A871" t="s">
        <v>1870</v>
      </c>
      <c r="B871" s="4">
        <v>45722</v>
      </c>
      <c r="C871" s="6">
        <v>45841</v>
      </c>
      <c r="D871" t="s">
        <v>2780</v>
      </c>
      <c r="E871" t="s">
        <v>121</v>
      </c>
      <c r="F871" t="s">
        <v>85</v>
      </c>
      <c r="G871" t="s">
        <v>2806</v>
      </c>
      <c r="H871" t="s">
        <v>270</v>
      </c>
      <c r="I871" t="s">
        <v>271</v>
      </c>
      <c r="J871" t="s">
        <v>39</v>
      </c>
      <c r="K871" t="s">
        <v>61</v>
      </c>
      <c r="L871" t="s">
        <v>815</v>
      </c>
      <c r="M871" t="s">
        <v>42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31</v>
      </c>
      <c r="U871" t="s">
        <v>32</v>
      </c>
      <c r="V871">
        <f t="shared" si="53"/>
        <v>4301.91</v>
      </c>
      <c r="W871">
        <f t="shared" si="54"/>
        <v>1927.5099999999998</v>
      </c>
      <c r="X871">
        <f t="shared" si="55"/>
        <v>44.805911792668837</v>
      </c>
      <c r="Y871">
        <f t="shared" si="56"/>
        <v>119</v>
      </c>
      <c r="Z871" t="str" cm="1">
        <f t="array" ref="Z871">_xlfn.IFS(Y871&lt;0, "Invalid Date", ISBLANK(G871), "Missing Region", TRUE, "Clean")</f>
        <v>Clean</v>
      </c>
    </row>
    <row r="872" spans="1:26">
      <c r="A872" t="s">
        <v>1871</v>
      </c>
      <c r="B872" s="4">
        <v>45814</v>
      </c>
      <c r="C872" s="6">
        <v>45844</v>
      </c>
      <c r="D872" t="s">
        <v>2740</v>
      </c>
      <c r="E872" t="s">
        <v>65</v>
      </c>
      <c r="F872" t="s">
        <v>81</v>
      </c>
      <c r="G872" t="s">
        <v>58</v>
      </c>
      <c r="H872" t="s">
        <v>159</v>
      </c>
      <c r="I872" t="s">
        <v>160</v>
      </c>
      <c r="J872" t="s">
        <v>39</v>
      </c>
      <c r="K872" t="s">
        <v>40</v>
      </c>
      <c r="L872" t="s">
        <v>1872</v>
      </c>
      <c r="M872" t="s">
        <v>55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31</v>
      </c>
      <c r="U872" t="s">
        <v>63</v>
      </c>
      <c r="V872">
        <f t="shared" si="53"/>
        <v>22436.838</v>
      </c>
      <c r="W872">
        <f t="shared" si="54"/>
        <v>4982.1680000000015</v>
      </c>
      <c r="X872">
        <f t="shared" si="55"/>
        <v>22.205303617203111</v>
      </c>
      <c r="Y872">
        <f t="shared" si="56"/>
        <v>30</v>
      </c>
      <c r="Z872" t="str" cm="1">
        <f t="array" ref="Z872">_xlfn.IFS(Y872&lt;0, "Invalid Date", ISBLANK(G872), "Missing Region", TRUE, "Clean")</f>
        <v>Clean</v>
      </c>
    </row>
    <row r="873" spans="1:26">
      <c r="A873" t="s">
        <v>1873</v>
      </c>
      <c r="B873" s="4">
        <v>45342</v>
      </c>
      <c r="C873" s="6">
        <v>45344</v>
      </c>
      <c r="D873" t="s">
        <v>2554</v>
      </c>
      <c r="E873" t="s">
        <v>72</v>
      </c>
      <c r="F873" t="s">
        <v>35</v>
      </c>
      <c r="G873" t="s">
        <v>50</v>
      </c>
      <c r="H873" t="s">
        <v>51</v>
      </c>
      <c r="I873" t="s">
        <v>52</v>
      </c>
      <c r="J873" t="s">
        <v>68</v>
      </c>
      <c r="K873" t="s">
        <v>69</v>
      </c>
      <c r="L873" t="s">
        <v>1874</v>
      </c>
      <c r="M873" t="s">
        <v>47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91</v>
      </c>
      <c r="U873" t="s">
        <v>63</v>
      </c>
      <c r="V873">
        <f t="shared" si="53"/>
        <v>19676.07</v>
      </c>
      <c r="W873">
        <f t="shared" si="54"/>
        <v>7217.4499999999989</v>
      </c>
      <c r="X873">
        <f t="shared" si="55"/>
        <v>36.681359641432451</v>
      </c>
      <c r="Y873">
        <f t="shared" si="56"/>
        <v>2</v>
      </c>
      <c r="Z873" t="str" cm="1">
        <f t="array" ref="Z873">_xlfn.IFS(Y873&lt;0, "Invalid Date", ISBLANK(G873), "Missing Region", TRUE, "Clean")</f>
        <v>Clean</v>
      </c>
    </row>
    <row r="874" spans="1:26">
      <c r="A874" t="s">
        <v>1875</v>
      </c>
      <c r="B874" s="4">
        <v>45597</v>
      </c>
      <c r="C874" s="6">
        <v>45333</v>
      </c>
      <c r="D874" t="s">
        <v>2781</v>
      </c>
      <c r="E874" t="s">
        <v>22</v>
      </c>
      <c r="F874" t="s">
        <v>81</v>
      </c>
      <c r="G874" t="s">
        <v>36</v>
      </c>
      <c r="H874" t="s">
        <v>88</v>
      </c>
      <c r="I874" t="s">
        <v>89</v>
      </c>
      <c r="J874" t="s">
        <v>39</v>
      </c>
      <c r="K874" t="s">
        <v>53</v>
      </c>
      <c r="L874" t="s">
        <v>1876</v>
      </c>
      <c r="M874" t="s">
        <v>55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31</v>
      </c>
      <c r="U874" t="s">
        <v>32</v>
      </c>
      <c r="V874">
        <f t="shared" si="53"/>
        <v>8848.08</v>
      </c>
      <c r="W874">
        <f t="shared" si="54"/>
        <v>3156.5199999999995</v>
      </c>
      <c r="X874">
        <f t="shared" si="55"/>
        <v>35.674632236598221</v>
      </c>
      <c r="Y874">
        <f t="shared" si="56"/>
        <v>-264</v>
      </c>
      <c r="Z874" t="str" cm="1">
        <f t="array" ref="Z874">_xlfn.IFS(Y874&lt;0, "Invalid Date", ISBLANK(G874), "Missing Region", TRUE, "Clean")</f>
        <v>Invalid Date</v>
      </c>
    </row>
    <row r="875" spans="1:26">
      <c r="A875" t="s">
        <v>1877</v>
      </c>
      <c r="B875" s="4">
        <v>45659</v>
      </c>
      <c r="C875" s="6">
        <v>45871</v>
      </c>
      <c r="D875" t="s">
        <v>2782</v>
      </c>
      <c r="E875" t="s">
        <v>80</v>
      </c>
      <c r="F875" t="s">
        <v>85</v>
      </c>
      <c r="G875" t="s">
        <v>58</v>
      </c>
      <c r="H875" t="s">
        <v>151</v>
      </c>
      <c r="I875" t="s">
        <v>152</v>
      </c>
      <c r="J875" t="s">
        <v>27</v>
      </c>
      <c r="K875" t="s">
        <v>108</v>
      </c>
      <c r="L875" t="s">
        <v>1878</v>
      </c>
      <c r="M875" t="s">
        <v>30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31</v>
      </c>
      <c r="U875" t="s">
        <v>32</v>
      </c>
      <c r="V875">
        <f t="shared" si="53"/>
        <v>4487.8319999999994</v>
      </c>
      <c r="W875">
        <f t="shared" si="54"/>
        <v>1854.0519999999992</v>
      </c>
      <c r="X875">
        <f t="shared" si="55"/>
        <v>41.312865543986483</v>
      </c>
      <c r="Y875">
        <f t="shared" si="56"/>
        <v>212</v>
      </c>
      <c r="Z875" t="str" cm="1">
        <f t="array" ref="Z875">_xlfn.IFS(Y875&lt;0, "Invalid Date", ISBLANK(G875), "Missing Region", TRUE, "Clean")</f>
        <v>Clean</v>
      </c>
    </row>
    <row r="876" spans="1:26">
      <c r="A876" t="s">
        <v>1879</v>
      </c>
      <c r="B876" s="4">
        <v>45853</v>
      </c>
      <c r="C876" s="6">
        <v>45854</v>
      </c>
      <c r="D876" t="s">
        <v>2783</v>
      </c>
      <c r="E876" t="s">
        <v>65</v>
      </c>
      <c r="F876" t="s">
        <v>35</v>
      </c>
      <c r="G876" t="s">
        <v>58</v>
      </c>
      <c r="H876" t="s">
        <v>59</v>
      </c>
      <c r="I876" t="s">
        <v>60</v>
      </c>
      <c r="J876" t="s">
        <v>27</v>
      </c>
      <c r="K876" t="s">
        <v>28</v>
      </c>
      <c r="L876" t="s">
        <v>1880</v>
      </c>
      <c r="M876" t="s">
        <v>55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31</v>
      </c>
      <c r="U876" t="s">
        <v>32</v>
      </c>
      <c r="V876">
        <f t="shared" si="53"/>
        <v>29829.088</v>
      </c>
      <c r="W876">
        <f t="shared" si="54"/>
        <v>9118.9079999999994</v>
      </c>
      <c r="X876">
        <f t="shared" si="55"/>
        <v>30.57052230359842</v>
      </c>
      <c r="Y876">
        <f t="shared" si="56"/>
        <v>1</v>
      </c>
      <c r="Z876" t="str" cm="1">
        <f t="array" ref="Z876">_xlfn.IFS(Y876&lt;0, "Invalid Date", ISBLANK(G876), "Missing Region", TRUE, "Clean")</f>
        <v>Clean</v>
      </c>
    </row>
    <row r="877" spans="1:26">
      <c r="A877" t="s">
        <v>1881</v>
      </c>
      <c r="B877" s="4">
        <v>45573</v>
      </c>
      <c r="C877" s="6">
        <v>45515</v>
      </c>
      <c r="D877" t="s">
        <v>2784</v>
      </c>
      <c r="E877" t="s">
        <v>34</v>
      </c>
      <c r="F877" t="s">
        <v>81</v>
      </c>
      <c r="G877" t="s">
        <v>58</v>
      </c>
      <c r="H877" t="s">
        <v>59</v>
      </c>
      <c r="I877" t="s">
        <v>60</v>
      </c>
      <c r="J877" t="s">
        <v>68</v>
      </c>
      <c r="K877" t="s">
        <v>73</v>
      </c>
      <c r="L877" t="s">
        <v>1882</v>
      </c>
      <c r="M877" t="s">
        <v>47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31</v>
      </c>
      <c r="U877" t="s">
        <v>32</v>
      </c>
      <c r="V877">
        <f t="shared" si="53"/>
        <v>21574.672000000002</v>
      </c>
      <c r="W877">
        <f t="shared" si="54"/>
        <v>6901.8420000000024</v>
      </c>
      <c r="X877">
        <f t="shared" si="55"/>
        <v>31.990484026825538</v>
      </c>
      <c r="Y877">
        <f t="shared" si="56"/>
        <v>-58</v>
      </c>
      <c r="Z877" t="str" cm="1">
        <f t="array" ref="Z877">_xlfn.IFS(Y877&lt;0, "Invalid Date", ISBLANK(G877), "Missing Region", TRUE, "Clean")</f>
        <v>Invalid Date</v>
      </c>
    </row>
    <row r="878" spans="1:26">
      <c r="A878" t="s">
        <v>1883</v>
      </c>
      <c r="B878" s="4">
        <v>45614</v>
      </c>
      <c r="C878" s="6">
        <v>45616</v>
      </c>
      <c r="D878" t="s">
        <v>2785</v>
      </c>
      <c r="E878" t="s">
        <v>100</v>
      </c>
      <c r="F878" t="s">
        <v>23</v>
      </c>
      <c r="G878" t="s">
        <v>58</v>
      </c>
      <c r="H878" t="s">
        <v>25</v>
      </c>
      <c r="I878" t="s">
        <v>96</v>
      </c>
      <c r="J878" t="s">
        <v>39</v>
      </c>
      <c r="K878" t="s">
        <v>61</v>
      </c>
      <c r="L878" t="s">
        <v>609</v>
      </c>
      <c r="M878" t="s">
        <v>47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31</v>
      </c>
      <c r="U878" t="s">
        <v>32</v>
      </c>
      <c r="V878">
        <f t="shared" si="53"/>
        <v>22741.32</v>
      </c>
      <c r="W878">
        <f t="shared" si="54"/>
        <v>6352.75</v>
      </c>
      <c r="X878">
        <f t="shared" si="55"/>
        <v>27.934834037777929</v>
      </c>
      <c r="Y878">
        <f t="shared" si="56"/>
        <v>2</v>
      </c>
      <c r="Z878" t="str" cm="1">
        <f t="array" ref="Z878">_xlfn.IFS(Y878&lt;0, "Invalid Date", ISBLANK(G878), "Missing Region", TRUE, "Clean")</f>
        <v>Clean</v>
      </c>
    </row>
    <row r="879" spans="1:26">
      <c r="A879" t="s">
        <v>1884</v>
      </c>
      <c r="B879" s="4">
        <v>45895</v>
      </c>
      <c r="C879" s="6">
        <v>45725</v>
      </c>
      <c r="D879" t="s">
        <v>2786</v>
      </c>
      <c r="E879" t="s">
        <v>111</v>
      </c>
      <c r="F879" t="s">
        <v>23</v>
      </c>
      <c r="G879" t="s">
        <v>58</v>
      </c>
      <c r="H879" t="s">
        <v>25</v>
      </c>
      <c r="I879" t="s">
        <v>96</v>
      </c>
      <c r="J879" t="s">
        <v>27</v>
      </c>
      <c r="K879" t="s">
        <v>108</v>
      </c>
      <c r="L879" t="s">
        <v>1885</v>
      </c>
      <c r="M879" t="s">
        <v>30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31</v>
      </c>
      <c r="U879" t="s">
        <v>32</v>
      </c>
      <c r="V879">
        <f t="shared" si="53"/>
        <v>3641.5439999999999</v>
      </c>
      <c r="W879">
        <f t="shared" si="54"/>
        <v>951.17399999999998</v>
      </c>
      <c r="X879">
        <f t="shared" si="55"/>
        <v>26.120074342092252</v>
      </c>
      <c r="Y879">
        <f t="shared" si="56"/>
        <v>-170</v>
      </c>
      <c r="Z879" t="str" cm="1">
        <f t="array" ref="Z879">_xlfn.IFS(Y879&lt;0, "Invalid Date", ISBLANK(G879), "Missing Region", TRUE, "Clean")</f>
        <v>Invalid Date</v>
      </c>
    </row>
    <row r="880" spans="1:26">
      <c r="A880" t="s">
        <v>1886</v>
      </c>
      <c r="B880" s="4">
        <v>45313</v>
      </c>
      <c r="C880" s="6">
        <v>45313</v>
      </c>
      <c r="D880" t="s">
        <v>2787</v>
      </c>
      <c r="E880" t="s">
        <v>22</v>
      </c>
      <c r="F880" t="s">
        <v>81</v>
      </c>
      <c r="G880" t="s">
        <v>36</v>
      </c>
      <c r="H880" t="s">
        <v>88</v>
      </c>
      <c r="I880" t="s">
        <v>89</v>
      </c>
      <c r="J880" t="s">
        <v>27</v>
      </c>
      <c r="K880" t="s">
        <v>28</v>
      </c>
      <c r="L880" t="s">
        <v>1887</v>
      </c>
      <c r="M880" t="s">
        <v>47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31</v>
      </c>
      <c r="U880" t="s">
        <v>32</v>
      </c>
      <c r="V880">
        <f t="shared" si="53"/>
        <v>11834.796</v>
      </c>
      <c r="W880">
        <f t="shared" si="54"/>
        <v>2512.4359999999997</v>
      </c>
      <c r="X880">
        <f t="shared" si="55"/>
        <v>21.229229468763126</v>
      </c>
      <c r="Y880">
        <f t="shared" si="56"/>
        <v>0</v>
      </c>
      <c r="Z880" t="str" cm="1">
        <f t="array" ref="Z880">_xlfn.IFS(Y880&lt;0, "Invalid Date", ISBLANK(G880), "Missing Region", TRUE, "Clean")</f>
        <v>Clean</v>
      </c>
    </row>
    <row r="881" spans="1:26">
      <c r="A881" t="s">
        <v>1888</v>
      </c>
      <c r="B881" s="4">
        <v>45896</v>
      </c>
      <c r="C881" s="6">
        <v>45897</v>
      </c>
      <c r="D881" t="s">
        <v>2788</v>
      </c>
      <c r="E881" t="s">
        <v>57</v>
      </c>
      <c r="F881" t="s">
        <v>85</v>
      </c>
      <c r="G881" t="s">
        <v>24</v>
      </c>
      <c r="H881" t="s">
        <v>117</v>
      </c>
      <c r="I881" t="s">
        <v>118</v>
      </c>
      <c r="J881" t="s">
        <v>27</v>
      </c>
      <c r="K881" t="s">
        <v>45</v>
      </c>
      <c r="L881" t="s">
        <v>1889</v>
      </c>
      <c r="M881" t="s">
        <v>55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31</v>
      </c>
      <c r="U881" t="s">
        <v>32</v>
      </c>
      <c r="V881">
        <f t="shared" si="53"/>
        <v>6028.3530000000001</v>
      </c>
      <c r="W881">
        <f t="shared" si="54"/>
        <v>1594.723</v>
      </c>
      <c r="X881">
        <f t="shared" si="55"/>
        <v>26.45370966166049</v>
      </c>
      <c r="Y881">
        <f t="shared" si="56"/>
        <v>1</v>
      </c>
      <c r="Z881" t="str" cm="1">
        <f t="array" ref="Z881">_xlfn.IFS(Y881&lt;0, "Invalid Date", ISBLANK(G881), "Missing Region", TRUE, "Clean")</f>
        <v>Clean</v>
      </c>
    </row>
    <row r="882" spans="1:26">
      <c r="A882" t="s">
        <v>1890</v>
      </c>
      <c r="B882" s="4">
        <v>45507</v>
      </c>
      <c r="C882" s="6">
        <v>45366</v>
      </c>
      <c r="D882" t="s">
        <v>2789</v>
      </c>
      <c r="E882" t="s">
        <v>111</v>
      </c>
      <c r="F882" t="s">
        <v>35</v>
      </c>
      <c r="G882" t="s">
        <v>2806</v>
      </c>
      <c r="H882" t="s">
        <v>106</v>
      </c>
      <c r="I882" t="s">
        <v>107</v>
      </c>
      <c r="J882" t="s">
        <v>39</v>
      </c>
      <c r="K882" t="s">
        <v>61</v>
      </c>
      <c r="L882" t="s">
        <v>1891</v>
      </c>
      <c r="M882" t="s">
        <v>47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31</v>
      </c>
      <c r="U882" t="s">
        <v>32</v>
      </c>
      <c r="V882">
        <f t="shared" si="53"/>
        <v>16173.85</v>
      </c>
      <c r="W882">
        <f t="shared" si="54"/>
        <v>2537.5100000000002</v>
      </c>
      <c r="X882">
        <f t="shared" si="55"/>
        <v>15.688967067210344</v>
      </c>
      <c r="Y882">
        <f t="shared" si="56"/>
        <v>-141</v>
      </c>
      <c r="Z882" t="str" cm="1">
        <f t="array" ref="Z882">_xlfn.IFS(Y882&lt;0, "Invalid Date", ISBLANK(G882), "Missing Region", TRUE, "Clean")</f>
        <v>Invalid Date</v>
      </c>
    </row>
    <row r="883" spans="1:26">
      <c r="A883" t="s">
        <v>1892</v>
      </c>
      <c r="B883" s="4">
        <v>45303</v>
      </c>
      <c r="C883" s="6">
        <v>45424</v>
      </c>
      <c r="D883" t="s">
        <v>2790</v>
      </c>
      <c r="E883" t="s">
        <v>57</v>
      </c>
      <c r="F883" t="s">
        <v>35</v>
      </c>
      <c r="G883" t="s">
        <v>50</v>
      </c>
      <c r="H883" t="s">
        <v>76</v>
      </c>
      <c r="I883" t="s">
        <v>77</v>
      </c>
      <c r="J883" t="s">
        <v>68</v>
      </c>
      <c r="K883" t="s">
        <v>73</v>
      </c>
      <c r="L883" t="s">
        <v>1893</v>
      </c>
      <c r="M883" t="s">
        <v>30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31</v>
      </c>
      <c r="U883" t="s">
        <v>32</v>
      </c>
      <c r="V883">
        <f t="shared" si="53"/>
        <v>25155.5625</v>
      </c>
      <c r="W883">
        <f t="shared" si="54"/>
        <v>7562.8725000000013</v>
      </c>
      <c r="X883">
        <f t="shared" si="55"/>
        <v>30.064414182747857</v>
      </c>
      <c r="Y883">
        <f t="shared" si="56"/>
        <v>121</v>
      </c>
      <c r="Z883" t="str" cm="1">
        <f t="array" ref="Z883">_xlfn.IFS(Y883&lt;0, "Invalid Date", ISBLANK(G883), "Missing Region", TRUE, "Clean")</f>
        <v>Clean</v>
      </c>
    </row>
    <row r="884" spans="1:26">
      <c r="A884" t="s">
        <v>1894</v>
      </c>
      <c r="B884" s="4">
        <v>45690</v>
      </c>
      <c r="C884" s="6">
        <v>45698</v>
      </c>
      <c r="D884" t="s">
        <v>2791</v>
      </c>
      <c r="E884" t="s">
        <v>114</v>
      </c>
      <c r="F884" t="s">
        <v>81</v>
      </c>
      <c r="G884" t="s">
        <v>36</v>
      </c>
      <c r="H884" t="s">
        <v>124</v>
      </c>
      <c r="I884" t="s">
        <v>125</v>
      </c>
      <c r="J884" t="s">
        <v>68</v>
      </c>
      <c r="K884" t="s">
        <v>69</v>
      </c>
      <c r="L884" t="s">
        <v>1895</v>
      </c>
      <c r="M884" t="s">
        <v>55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98</v>
      </c>
      <c r="U884" t="s">
        <v>92</v>
      </c>
      <c r="V884">
        <f t="shared" si="53"/>
        <v>7649.8</v>
      </c>
      <c r="W884">
        <f t="shared" si="54"/>
        <v>2755.2700000000004</v>
      </c>
      <c r="X884">
        <f t="shared" si="55"/>
        <v>36.017542942299151</v>
      </c>
      <c r="Y884">
        <f t="shared" si="56"/>
        <v>8</v>
      </c>
      <c r="Z884" t="str" cm="1">
        <f t="array" ref="Z884">_xlfn.IFS(Y884&lt;0, "Invalid Date", ISBLANK(G884), "Missing Region", TRUE, "Clean")</f>
        <v>Clean</v>
      </c>
    </row>
    <row r="885" spans="1:26">
      <c r="A885" t="s">
        <v>1896</v>
      </c>
      <c r="B885" s="4">
        <v>45775</v>
      </c>
      <c r="C885" s="6">
        <v>45778</v>
      </c>
      <c r="D885" t="s">
        <v>2792</v>
      </c>
      <c r="E885" t="s">
        <v>111</v>
      </c>
      <c r="F885" t="s">
        <v>35</v>
      </c>
      <c r="G885" t="s">
        <v>58</v>
      </c>
      <c r="H885" t="s">
        <v>159</v>
      </c>
      <c r="I885" t="s">
        <v>160</v>
      </c>
      <c r="J885" t="s">
        <v>27</v>
      </c>
      <c r="K885" t="s">
        <v>108</v>
      </c>
      <c r="L885" t="s">
        <v>1897</v>
      </c>
      <c r="M885" t="s">
        <v>42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31</v>
      </c>
      <c r="U885" t="s">
        <v>32</v>
      </c>
      <c r="V885">
        <f t="shared" si="53"/>
        <v>1620.87</v>
      </c>
      <c r="W885">
        <f t="shared" si="54"/>
        <v>517.26</v>
      </c>
      <c r="X885">
        <f t="shared" si="55"/>
        <v>31.912491439782343</v>
      </c>
      <c r="Y885">
        <f t="shared" si="56"/>
        <v>3</v>
      </c>
      <c r="Z885" t="str" cm="1">
        <f t="array" ref="Z885">_xlfn.IFS(Y885&lt;0, "Invalid Date", ISBLANK(G885), "Missing Region", TRUE, "Clean")</f>
        <v>Clean</v>
      </c>
    </row>
    <row r="886" spans="1:26">
      <c r="A886" t="s">
        <v>1898</v>
      </c>
      <c r="B886" s="4">
        <v>45675</v>
      </c>
      <c r="C886" s="6">
        <v>45682</v>
      </c>
      <c r="D886" t="s">
        <v>2793</v>
      </c>
      <c r="E886" t="s">
        <v>72</v>
      </c>
      <c r="F886" t="s">
        <v>85</v>
      </c>
      <c r="G886" t="s">
        <v>50</v>
      </c>
      <c r="H886" t="s">
        <v>147</v>
      </c>
      <c r="I886" t="s">
        <v>148</v>
      </c>
      <c r="J886" t="s">
        <v>27</v>
      </c>
      <c r="K886" t="s">
        <v>108</v>
      </c>
      <c r="L886" t="s">
        <v>1899</v>
      </c>
      <c r="M886" t="s">
        <v>42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31</v>
      </c>
      <c r="U886" t="s">
        <v>32</v>
      </c>
      <c r="V886">
        <f t="shared" si="53"/>
        <v>3567.518</v>
      </c>
      <c r="W886">
        <f t="shared" si="54"/>
        <v>1155.7179999999998</v>
      </c>
      <c r="X886">
        <f t="shared" si="55"/>
        <v>32.395575859743381</v>
      </c>
      <c r="Y886">
        <f t="shared" si="56"/>
        <v>7</v>
      </c>
      <c r="Z886" t="str" cm="1">
        <f t="array" ref="Z886">_xlfn.IFS(Y886&lt;0, "Invalid Date", ISBLANK(G886), "Missing Region", TRUE, "Clean")</f>
        <v>Clean</v>
      </c>
    </row>
    <row r="887" spans="1:26">
      <c r="A887" t="s">
        <v>1900</v>
      </c>
      <c r="B887" s="4">
        <v>45413</v>
      </c>
      <c r="C887" s="6">
        <v>45413</v>
      </c>
      <c r="D887" t="s">
        <v>2794</v>
      </c>
      <c r="E887" t="s">
        <v>137</v>
      </c>
      <c r="F887" t="s">
        <v>23</v>
      </c>
      <c r="G887" t="s">
        <v>24</v>
      </c>
      <c r="H887" t="s">
        <v>25</v>
      </c>
      <c r="I887" t="s">
        <v>26</v>
      </c>
      <c r="J887" t="s">
        <v>39</v>
      </c>
      <c r="K887" t="s">
        <v>40</v>
      </c>
      <c r="L887" t="s">
        <v>1901</v>
      </c>
      <c r="M887" t="s">
        <v>55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31</v>
      </c>
      <c r="U887" t="s">
        <v>32</v>
      </c>
      <c r="V887">
        <f t="shared" si="53"/>
        <v>1625.31</v>
      </c>
      <c r="W887">
        <f t="shared" si="54"/>
        <v>467.41999999999985</v>
      </c>
      <c r="X887">
        <f t="shared" si="55"/>
        <v>28.758821394072509</v>
      </c>
      <c r="Y887">
        <f t="shared" si="56"/>
        <v>0</v>
      </c>
      <c r="Z887" t="str" cm="1">
        <f t="array" ref="Z887">_xlfn.IFS(Y887&lt;0, "Invalid Date", ISBLANK(G887), "Missing Region", TRUE, "Clean")</f>
        <v>Clean</v>
      </c>
    </row>
    <row r="888" spans="1:26">
      <c r="A888" t="s">
        <v>1902</v>
      </c>
      <c r="B888" s="4">
        <v>45773</v>
      </c>
      <c r="C888" s="6">
        <v>45721</v>
      </c>
      <c r="D888" t="s">
        <v>2795</v>
      </c>
      <c r="E888" t="s">
        <v>49</v>
      </c>
      <c r="F888" t="s">
        <v>85</v>
      </c>
      <c r="G888" t="s">
        <v>50</v>
      </c>
      <c r="H888" t="s">
        <v>200</v>
      </c>
      <c r="I888" t="s">
        <v>201</v>
      </c>
      <c r="J888" t="s">
        <v>68</v>
      </c>
      <c r="K888" t="s">
        <v>69</v>
      </c>
      <c r="L888" t="s">
        <v>1903</v>
      </c>
      <c r="M888" t="s">
        <v>47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31</v>
      </c>
      <c r="U888" t="s">
        <v>63</v>
      </c>
      <c r="V888">
        <f t="shared" si="53"/>
        <v>23739.904999999999</v>
      </c>
      <c r="W888">
        <f t="shared" si="54"/>
        <v>6023.3849999999984</v>
      </c>
      <c r="X888">
        <f t="shared" si="55"/>
        <v>25.372405660427027</v>
      </c>
      <c r="Y888">
        <f t="shared" si="56"/>
        <v>-52</v>
      </c>
      <c r="Z888" t="str" cm="1">
        <f t="array" ref="Z888">_xlfn.IFS(Y888&lt;0, "Invalid Date", ISBLANK(G888), "Missing Region", TRUE, "Clean")</f>
        <v>Invalid Date</v>
      </c>
    </row>
    <row r="889" spans="1:26">
      <c r="A889" t="s">
        <v>1904</v>
      </c>
      <c r="B889" s="4">
        <v>45632</v>
      </c>
      <c r="C889" s="6">
        <v>45461</v>
      </c>
      <c r="D889" t="s">
        <v>2796</v>
      </c>
      <c r="E889" t="s">
        <v>111</v>
      </c>
      <c r="F889" t="s">
        <v>35</v>
      </c>
      <c r="G889" t="s">
        <v>50</v>
      </c>
      <c r="H889" t="s">
        <v>76</v>
      </c>
      <c r="I889" t="s">
        <v>77</v>
      </c>
      <c r="J889" t="s">
        <v>27</v>
      </c>
      <c r="K889" t="s">
        <v>45</v>
      </c>
      <c r="L889" t="s">
        <v>1905</v>
      </c>
      <c r="M889" t="s">
        <v>55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31</v>
      </c>
      <c r="U889" t="s">
        <v>32</v>
      </c>
      <c r="V889">
        <f t="shared" si="53"/>
        <v>16704.52</v>
      </c>
      <c r="W889">
        <f t="shared" si="54"/>
        <v>6546.24</v>
      </c>
      <c r="X889">
        <f t="shared" si="55"/>
        <v>39.188435225914894</v>
      </c>
      <c r="Y889">
        <f t="shared" si="56"/>
        <v>-171</v>
      </c>
      <c r="Z889" t="str" cm="1">
        <f t="array" ref="Z889">_xlfn.IFS(Y889&lt;0, "Invalid Date", ISBLANK(G889), "Missing Region", TRUE, "Clean")</f>
        <v>Invalid Date</v>
      </c>
    </row>
    <row r="890" spans="1:26">
      <c r="A890" t="s">
        <v>1906</v>
      </c>
      <c r="B890" s="4">
        <v>45816</v>
      </c>
      <c r="C890" s="6">
        <v>45846</v>
      </c>
      <c r="D890" t="s">
        <v>2205</v>
      </c>
      <c r="E890" t="s">
        <v>103</v>
      </c>
      <c r="F890" t="s">
        <v>35</v>
      </c>
      <c r="G890" t="s">
        <v>58</v>
      </c>
      <c r="H890" t="s">
        <v>59</v>
      </c>
      <c r="I890" t="s">
        <v>60</v>
      </c>
      <c r="J890" t="s">
        <v>27</v>
      </c>
      <c r="K890" t="s">
        <v>45</v>
      </c>
      <c r="L890" t="s">
        <v>1907</v>
      </c>
      <c r="M890" t="s">
        <v>55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91</v>
      </c>
      <c r="U890" t="s">
        <v>63</v>
      </c>
      <c r="V890">
        <f t="shared" si="53"/>
        <v>12685.103999999999</v>
      </c>
      <c r="W890">
        <f t="shared" si="54"/>
        <v>1905.5439999999999</v>
      </c>
      <c r="X890">
        <f t="shared" si="55"/>
        <v>15.021902855506742</v>
      </c>
      <c r="Y890">
        <f t="shared" si="56"/>
        <v>30</v>
      </c>
      <c r="Z890" t="str" cm="1">
        <f t="array" ref="Z890">_xlfn.IFS(Y890&lt;0, "Invalid Date", ISBLANK(G890), "Missing Region", TRUE, "Clean")</f>
        <v>Clean</v>
      </c>
    </row>
    <row r="891" spans="1:26">
      <c r="A891" t="s">
        <v>1908</v>
      </c>
      <c r="B891" s="4">
        <v>45933</v>
      </c>
      <c r="C891" s="6">
        <v>45727</v>
      </c>
      <c r="D891" t="s">
        <v>2797</v>
      </c>
      <c r="E891" t="s">
        <v>80</v>
      </c>
      <c r="F891" t="s">
        <v>85</v>
      </c>
      <c r="G891" t="s">
        <v>58</v>
      </c>
      <c r="H891" t="s">
        <v>66</v>
      </c>
      <c r="I891" t="s">
        <v>67</v>
      </c>
      <c r="J891" t="s">
        <v>27</v>
      </c>
      <c r="K891" t="s">
        <v>108</v>
      </c>
      <c r="L891" t="s">
        <v>1909</v>
      </c>
      <c r="M891" t="s">
        <v>47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31</v>
      </c>
      <c r="U891" t="s">
        <v>92</v>
      </c>
      <c r="V891">
        <f t="shared" si="53"/>
        <v>5883.12</v>
      </c>
      <c r="W891">
        <f t="shared" si="54"/>
        <v>1235.21</v>
      </c>
      <c r="X891">
        <f t="shared" si="55"/>
        <v>20.995832143488492</v>
      </c>
      <c r="Y891">
        <f t="shared" si="56"/>
        <v>-206</v>
      </c>
      <c r="Z891" t="str" cm="1">
        <f t="array" ref="Z891">_xlfn.IFS(Y891&lt;0, "Invalid Date", ISBLANK(G891), "Missing Region", TRUE, "Clean")</f>
        <v>Invalid Date</v>
      </c>
    </row>
    <row r="892" spans="1:26">
      <c r="A892" t="s">
        <v>1910</v>
      </c>
      <c r="B892" s="4">
        <v>45427</v>
      </c>
      <c r="C892" s="6">
        <v>45433</v>
      </c>
      <c r="D892" t="s">
        <v>2798</v>
      </c>
      <c r="E892" t="s">
        <v>22</v>
      </c>
      <c r="F892" t="s">
        <v>23</v>
      </c>
      <c r="G892" t="s">
        <v>58</v>
      </c>
      <c r="H892" t="s">
        <v>159</v>
      </c>
      <c r="I892" t="s">
        <v>160</v>
      </c>
      <c r="J892" t="s">
        <v>27</v>
      </c>
      <c r="K892" t="s">
        <v>108</v>
      </c>
      <c r="L892" t="s">
        <v>1911</v>
      </c>
      <c r="M892" t="s">
        <v>55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31</v>
      </c>
      <c r="U892" t="s">
        <v>32</v>
      </c>
      <c r="V892">
        <f t="shared" si="53"/>
        <v>13965.888000000001</v>
      </c>
      <c r="W892">
        <f t="shared" si="54"/>
        <v>2319.768</v>
      </c>
      <c r="X892">
        <f t="shared" si="55"/>
        <v>16.61024347323994</v>
      </c>
      <c r="Y892">
        <f t="shared" si="56"/>
        <v>6</v>
      </c>
      <c r="Z892" t="str" cm="1">
        <f t="array" ref="Z892">_xlfn.IFS(Y892&lt;0, "Invalid Date", ISBLANK(G892), "Missing Region", TRUE, "Clean")</f>
        <v>Clean</v>
      </c>
    </row>
    <row r="893" spans="1:26">
      <c r="A893" t="s">
        <v>1912</v>
      </c>
      <c r="B893" s="4">
        <v>45514</v>
      </c>
      <c r="C893" s="6">
        <v>45545</v>
      </c>
      <c r="D893" t="s">
        <v>2799</v>
      </c>
      <c r="E893" t="s">
        <v>212</v>
      </c>
      <c r="F893" t="s">
        <v>81</v>
      </c>
      <c r="G893" t="s">
        <v>50</v>
      </c>
      <c r="H893" t="s">
        <v>200</v>
      </c>
      <c r="I893" t="s">
        <v>201</v>
      </c>
      <c r="J893" t="s">
        <v>68</v>
      </c>
      <c r="K893" t="s">
        <v>219</v>
      </c>
      <c r="L893" t="s">
        <v>1913</v>
      </c>
      <c r="M893" t="s">
        <v>42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132</v>
      </c>
      <c r="U893" t="s">
        <v>63</v>
      </c>
      <c r="V893">
        <f t="shared" si="53"/>
        <v>10835.865</v>
      </c>
      <c r="W893">
        <f t="shared" si="54"/>
        <v>4415.9449999999997</v>
      </c>
      <c r="X893">
        <f t="shared" si="55"/>
        <v>40.753045557507406</v>
      </c>
      <c r="Y893">
        <f t="shared" si="56"/>
        <v>31</v>
      </c>
      <c r="Z893" t="str" cm="1">
        <f t="array" ref="Z893">_xlfn.IFS(Y893&lt;0, "Invalid Date", ISBLANK(G893), "Missing Region", TRUE, "Clean")</f>
        <v>Clean</v>
      </c>
    </row>
    <row r="894" spans="1:26">
      <c r="A894" t="s">
        <v>1914</v>
      </c>
      <c r="B894" s="4">
        <v>45759</v>
      </c>
      <c r="C894" s="6">
        <v>45765</v>
      </c>
      <c r="D894" t="s">
        <v>2800</v>
      </c>
      <c r="E894" t="s">
        <v>44</v>
      </c>
      <c r="F894" t="s">
        <v>35</v>
      </c>
      <c r="G894" t="s">
        <v>36</v>
      </c>
      <c r="H894" t="s">
        <v>186</v>
      </c>
      <c r="I894" t="s">
        <v>187</v>
      </c>
      <c r="J894" t="s">
        <v>68</v>
      </c>
      <c r="K894" t="s">
        <v>73</v>
      </c>
      <c r="L894" t="s">
        <v>1915</v>
      </c>
      <c r="M894" t="s">
        <v>42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31</v>
      </c>
      <c r="U894" t="s">
        <v>32</v>
      </c>
      <c r="V894">
        <f t="shared" si="53"/>
        <v>581.51200000000006</v>
      </c>
      <c r="W894">
        <f t="shared" si="54"/>
        <v>157.65200000000004</v>
      </c>
      <c r="X894">
        <f t="shared" si="55"/>
        <v>27.110704508247469</v>
      </c>
      <c r="Y894">
        <f t="shared" si="56"/>
        <v>6</v>
      </c>
      <c r="Z894" t="str" cm="1">
        <f t="array" ref="Z894">_xlfn.IFS(Y894&lt;0, "Invalid Date", ISBLANK(G894), "Missing Region", TRUE, "Clean")</f>
        <v>Clean</v>
      </c>
    </row>
    <row r="895" spans="1:26">
      <c r="A895" t="s">
        <v>1916</v>
      </c>
      <c r="B895" s="4">
        <v>45449</v>
      </c>
      <c r="C895" s="6">
        <v>45510</v>
      </c>
      <c r="D895" t="s">
        <v>2801</v>
      </c>
      <c r="E895" t="s">
        <v>111</v>
      </c>
      <c r="F895" t="s">
        <v>81</v>
      </c>
      <c r="G895" t="s">
        <v>50</v>
      </c>
      <c r="H895" t="s">
        <v>147</v>
      </c>
      <c r="I895" t="s">
        <v>148</v>
      </c>
      <c r="J895" t="s">
        <v>39</v>
      </c>
      <c r="K895" t="s">
        <v>40</v>
      </c>
      <c r="L895" t="s">
        <v>1917</v>
      </c>
      <c r="M895" t="s">
        <v>30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31</v>
      </c>
      <c r="U895" t="s">
        <v>92</v>
      </c>
      <c r="V895">
        <f t="shared" si="53"/>
        <v>1127.1465000000001</v>
      </c>
      <c r="W895">
        <f t="shared" si="54"/>
        <v>281.52650000000006</v>
      </c>
      <c r="X895">
        <f t="shared" si="55"/>
        <v>24.976921810962466</v>
      </c>
      <c r="Y895">
        <f t="shared" si="56"/>
        <v>61</v>
      </c>
      <c r="Z895" t="str" cm="1">
        <f t="array" ref="Z895">_xlfn.IFS(Y895&lt;0, "Invalid Date", ISBLANK(G895), "Missing Region", TRUE, "Clean")</f>
        <v>Clean</v>
      </c>
    </row>
    <row r="896" spans="1:26">
      <c r="A896" t="s">
        <v>1918</v>
      </c>
      <c r="B896" s="4">
        <v>45344</v>
      </c>
      <c r="C896" s="6">
        <v>45351</v>
      </c>
      <c r="D896" t="s">
        <v>2802</v>
      </c>
      <c r="E896" t="s">
        <v>44</v>
      </c>
      <c r="F896" t="s">
        <v>85</v>
      </c>
      <c r="G896" t="s">
        <v>50</v>
      </c>
      <c r="H896" t="s">
        <v>51</v>
      </c>
      <c r="I896" t="s">
        <v>52</v>
      </c>
      <c r="J896" t="s">
        <v>39</v>
      </c>
      <c r="K896" t="s">
        <v>40</v>
      </c>
      <c r="L896" t="s">
        <v>1919</v>
      </c>
      <c r="M896" t="s">
        <v>47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31</v>
      </c>
      <c r="U896" t="s">
        <v>32</v>
      </c>
      <c r="V896">
        <f t="shared" si="53"/>
        <v>25524.300000000003</v>
      </c>
      <c r="W896">
        <f t="shared" si="54"/>
        <v>8812.3700000000026</v>
      </c>
      <c r="X896">
        <f t="shared" si="55"/>
        <v>34.525413037771855</v>
      </c>
      <c r="Y896">
        <f t="shared" si="56"/>
        <v>7</v>
      </c>
      <c r="Z896" t="str" cm="1">
        <f t="array" ref="Z896">_xlfn.IFS(Y896&lt;0, "Invalid Date", ISBLANK(G896), "Missing Region", TRUE, "Clean")</f>
        <v>Clean</v>
      </c>
    </row>
    <row r="897" spans="1:26">
      <c r="A897" t="s">
        <v>1920</v>
      </c>
      <c r="B897" s="4">
        <v>45423</v>
      </c>
      <c r="C897" s="6">
        <v>45606</v>
      </c>
      <c r="D897" t="s">
        <v>2803</v>
      </c>
      <c r="E897" t="s">
        <v>49</v>
      </c>
      <c r="F897" t="s">
        <v>23</v>
      </c>
      <c r="G897" t="s">
        <v>50</v>
      </c>
      <c r="H897" t="s">
        <v>155</v>
      </c>
      <c r="I897" t="s">
        <v>156</v>
      </c>
      <c r="J897" t="s">
        <v>39</v>
      </c>
      <c r="K897" t="s">
        <v>61</v>
      </c>
      <c r="L897" t="s">
        <v>1921</v>
      </c>
      <c r="M897" t="s">
        <v>42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98</v>
      </c>
      <c r="U897" t="s">
        <v>92</v>
      </c>
      <c r="V897">
        <f t="shared" si="53"/>
        <v>2418.0119999999997</v>
      </c>
      <c r="W897">
        <f t="shared" si="54"/>
        <v>976.12199999999962</v>
      </c>
      <c r="X897">
        <f t="shared" si="55"/>
        <v>40.368782288921636</v>
      </c>
      <c r="Y897">
        <f t="shared" si="56"/>
        <v>183</v>
      </c>
      <c r="Z897" t="str" cm="1">
        <f t="array" ref="Z897">_xlfn.IFS(Y897&lt;0, "Invalid Date", ISBLANK(G897), "Missing Region", TRUE, "Clean")</f>
        <v>Clean</v>
      </c>
    </row>
    <row r="898" spans="1:26">
      <c r="A898" t="s">
        <v>1922</v>
      </c>
      <c r="B898" s="4">
        <v>45650</v>
      </c>
      <c r="C898" s="6">
        <v>45651</v>
      </c>
      <c r="D898" t="s">
        <v>2603</v>
      </c>
      <c r="E898" t="s">
        <v>57</v>
      </c>
      <c r="F898" t="s">
        <v>35</v>
      </c>
      <c r="G898" t="s">
        <v>50</v>
      </c>
      <c r="H898" t="s">
        <v>200</v>
      </c>
      <c r="I898" t="s">
        <v>201</v>
      </c>
      <c r="J898" t="s">
        <v>68</v>
      </c>
      <c r="K898" t="s">
        <v>73</v>
      </c>
      <c r="L898" t="s">
        <v>1923</v>
      </c>
      <c r="M898" t="s">
        <v>30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132</v>
      </c>
      <c r="U898" t="s">
        <v>92</v>
      </c>
      <c r="V898">
        <f t="shared" si="53"/>
        <v>3508.3784999999998</v>
      </c>
      <c r="W898">
        <f t="shared" si="54"/>
        <v>680.31849999999986</v>
      </c>
      <c r="X898">
        <f t="shared" si="55"/>
        <v>19.391251542557335</v>
      </c>
      <c r="Y898">
        <f t="shared" si="56"/>
        <v>1</v>
      </c>
      <c r="Z898" t="str" cm="1">
        <f t="array" ref="Z898">_xlfn.IFS(Y898&lt;0, "Invalid Date", ISBLANK(G898), "Missing Region", TRUE, "Clean")</f>
        <v>Clean</v>
      </c>
    </row>
    <row r="899" spans="1:26">
      <c r="A899" t="s">
        <v>1924</v>
      </c>
      <c r="B899" s="4">
        <v>45776</v>
      </c>
      <c r="C899" s="6">
        <v>45721</v>
      </c>
      <c r="D899" t="s">
        <v>2804</v>
      </c>
      <c r="E899" t="s">
        <v>121</v>
      </c>
      <c r="F899" t="s">
        <v>81</v>
      </c>
      <c r="G899" t="s">
        <v>24</v>
      </c>
      <c r="H899" t="s">
        <v>192</v>
      </c>
      <c r="I899" t="s">
        <v>193</v>
      </c>
      <c r="J899" t="s">
        <v>27</v>
      </c>
      <c r="K899" t="s">
        <v>28</v>
      </c>
      <c r="L899" t="s">
        <v>1925</v>
      </c>
      <c r="M899" t="s">
        <v>47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31</v>
      </c>
      <c r="U899" t="s">
        <v>32</v>
      </c>
      <c r="V899">
        <f t="shared" ref="V899:V933" si="57">N899*O899*(1- P899)</f>
        <v>6789.27</v>
      </c>
      <c r="W899">
        <f t="shared" ref="W899:W933" si="58">V899-R899</f>
        <v>1162.8400000000001</v>
      </c>
      <c r="X899">
        <f t="shared" ref="X899:X933" si="59">W899/V899*100</f>
        <v>17.127614603631908</v>
      </c>
      <c r="Y899">
        <f t="shared" si="56"/>
        <v>-55</v>
      </c>
      <c r="Z899" t="str" cm="1">
        <f t="array" ref="Z899">_xlfn.IFS(Y899&lt;0, "Invalid Date", ISBLANK(G899), "Missing Region", TRUE, "Clean")</f>
        <v>Invalid Date</v>
      </c>
    </row>
    <row r="900" spans="1:26">
      <c r="A900" t="s">
        <v>1926</v>
      </c>
      <c r="B900" s="4">
        <v>45328</v>
      </c>
      <c r="C900" s="6">
        <v>45451</v>
      </c>
      <c r="D900" t="s">
        <v>2805</v>
      </c>
      <c r="E900" t="s">
        <v>65</v>
      </c>
      <c r="F900" t="s">
        <v>23</v>
      </c>
      <c r="G900" t="s">
        <v>24</v>
      </c>
      <c r="H900" t="s">
        <v>270</v>
      </c>
      <c r="I900" t="s">
        <v>271</v>
      </c>
      <c r="J900" t="s">
        <v>39</v>
      </c>
      <c r="K900" t="s">
        <v>40</v>
      </c>
      <c r="L900" t="s">
        <v>1927</v>
      </c>
      <c r="M900" t="s">
        <v>47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31</v>
      </c>
      <c r="U900" t="s">
        <v>32</v>
      </c>
      <c r="V900">
        <f t="shared" si="57"/>
        <v>4917.4400000000005</v>
      </c>
      <c r="W900">
        <f t="shared" si="58"/>
        <v>1070.6700000000005</v>
      </c>
      <c r="X900">
        <f t="shared" si="59"/>
        <v>21.772914361944434</v>
      </c>
      <c r="Y900">
        <f t="shared" si="56"/>
        <v>123</v>
      </c>
      <c r="Z900" t="str" cm="1">
        <f t="array" ref="Z900">_xlfn.IFS(Y900&lt;0, "Invalid Date", ISBLANK(G900), "Missing Region", TRUE, "Clean")</f>
        <v>Clean</v>
      </c>
    </row>
    <row r="901" spans="1:26">
      <c r="A901" t="s">
        <v>1928</v>
      </c>
      <c r="B901" s="4">
        <v>45804</v>
      </c>
      <c r="C901" s="6">
        <v>45811</v>
      </c>
      <c r="D901" t="s">
        <v>2441</v>
      </c>
      <c r="E901" t="s">
        <v>22</v>
      </c>
      <c r="F901" t="s">
        <v>23</v>
      </c>
      <c r="G901" t="s">
        <v>24</v>
      </c>
      <c r="H901" t="s">
        <v>106</v>
      </c>
      <c r="I901" t="s">
        <v>107</v>
      </c>
      <c r="J901" t="s">
        <v>39</v>
      </c>
      <c r="K901" t="s">
        <v>61</v>
      </c>
      <c r="L901" t="s">
        <v>1929</v>
      </c>
      <c r="M901" t="s">
        <v>47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132</v>
      </c>
      <c r="U901" t="s">
        <v>63</v>
      </c>
      <c r="V901">
        <f t="shared" si="57"/>
        <v>3304.05</v>
      </c>
      <c r="W901">
        <f t="shared" si="58"/>
        <v>1024.6400000000003</v>
      </c>
      <c r="X901">
        <f t="shared" si="59"/>
        <v>31.011637233092728</v>
      </c>
      <c r="Y901">
        <f t="shared" si="56"/>
        <v>7</v>
      </c>
      <c r="Z901" t="str" cm="1">
        <f t="array" ref="Z901">_xlfn.IFS(Y901&lt;0, "Invalid Date", ISBLANK(G901), "Missing Region", TRUE, "Clean")</f>
        <v>Clean</v>
      </c>
    </row>
    <row r="902" spans="1:26">
      <c r="A902" t="s">
        <v>1130</v>
      </c>
      <c r="B902" s="4">
        <v>45383</v>
      </c>
      <c r="C902" s="6">
        <v>45539</v>
      </c>
      <c r="D902" t="s">
        <v>2532</v>
      </c>
      <c r="E902" t="s">
        <v>100</v>
      </c>
      <c r="F902" t="s">
        <v>35</v>
      </c>
      <c r="G902" t="s">
        <v>36</v>
      </c>
      <c r="H902" t="s">
        <v>37</v>
      </c>
      <c r="I902" t="s">
        <v>38</v>
      </c>
      <c r="J902" t="s">
        <v>68</v>
      </c>
      <c r="K902" t="s">
        <v>73</v>
      </c>
      <c r="L902" t="s">
        <v>1131</v>
      </c>
      <c r="M902" t="s">
        <v>30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31</v>
      </c>
      <c r="U902" t="s">
        <v>32</v>
      </c>
      <c r="V902">
        <f t="shared" si="57"/>
        <v>4465.4220000000005</v>
      </c>
      <c r="W902">
        <f t="shared" si="58"/>
        <v>1088.3220000000006</v>
      </c>
      <c r="X902">
        <f t="shared" si="59"/>
        <v>24.372209390288319</v>
      </c>
      <c r="Y902">
        <f t="shared" si="56"/>
        <v>156</v>
      </c>
      <c r="Z902" t="str" cm="1">
        <f t="array" ref="Z902">_xlfn.IFS(Y902&lt;0, "Invalid Date", ISBLANK(G902), "Missing Region", TRUE, "Clean")</f>
        <v>Clean</v>
      </c>
    </row>
    <row r="903" spans="1:26">
      <c r="A903" t="s">
        <v>1323</v>
      </c>
      <c r="B903" s="4">
        <v>45521</v>
      </c>
      <c r="C903" s="6">
        <v>45528</v>
      </c>
      <c r="D903" t="s">
        <v>2288</v>
      </c>
      <c r="E903" t="s">
        <v>57</v>
      </c>
      <c r="F903" t="s">
        <v>81</v>
      </c>
      <c r="G903" t="s">
        <v>36</v>
      </c>
      <c r="H903" t="s">
        <v>88</v>
      </c>
      <c r="I903" t="s">
        <v>89</v>
      </c>
      <c r="J903" t="s">
        <v>68</v>
      </c>
      <c r="K903" t="s">
        <v>73</v>
      </c>
      <c r="L903" t="s">
        <v>1324</v>
      </c>
      <c r="M903" t="s">
        <v>42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31</v>
      </c>
      <c r="U903" t="s">
        <v>32</v>
      </c>
      <c r="V903">
        <f t="shared" si="57"/>
        <v>3354.0524999999998</v>
      </c>
      <c r="W903">
        <f t="shared" si="58"/>
        <v>681.38249999999971</v>
      </c>
      <c r="X903">
        <f t="shared" si="59"/>
        <v>20.315200790685289</v>
      </c>
      <c r="Y903">
        <f t="shared" ref="Y903:Y933" si="60">C903-B903</f>
        <v>7</v>
      </c>
      <c r="Z903" t="str" cm="1">
        <f t="array" ref="Z903">_xlfn.IFS(Y903&lt;0, "Invalid Date", ISBLANK(G903), "Missing Region", TRUE, "Clean")</f>
        <v>Clean</v>
      </c>
    </row>
    <row r="904" spans="1:26">
      <c r="A904" t="s">
        <v>1517</v>
      </c>
      <c r="B904" s="4">
        <v>45665</v>
      </c>
      <c r="C904" s="6">
        <v>45908</v>
      </c>
      <c r="D904" t="s">
        <v>2626</v>
      </c>
      <c r="E904" t="s">
        <v>44</v>
      </c>
      <c r="F904" t="s">
        <v>23</v>
      </c>
      <c r="G904" t="s">
        <v>50</v>
      </c>
      <c r="H904" t="s">
        <v>76</v>
      </c>
      <c r="I904" t="s">
        <v>77</v>
      </c>
      <c r="J904" t="s">
        <v>27</v>
      </c>
      <c r="K904" t="s">
        <v>108</v>
      </c>
      <c r="L904" t="s">
        <v>1518</v>
      </c>
      <c r="M904" t="s">
        <v>47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31</v>
      </c>
      <c r="U904" t="s">
        <v>32</v>
      </c>
      <c r="V904">
        <f t="shared" si="57"/>
        <v>11629.019999999999</v>
      </c>
      <c r="W904">
        <f t="shared" si="58"/>
        <v>2001.8099999999995</v>
      </c>
      <c r="X904">
        <f t="shared" si="59"/>
        <v>17.213918283741876</v>
      </c>
      <c r="Y904">
        <f t="shared" si="60"/>
        <v>243</v>
      </c>
      <c r="Z904" t="str" cm="1">
        <f t="array" ref="Z904">_xlfn.IFS(Y904&lt;0, "Invalid Date", ISBLANK(G904), "Missing Region", TRUE, "Clean")</f>
        <v>Clean</v>
      </c>
    </row>
    <row r="905" spans="1:26">
      <c r="A905" t="s">
        <v>1537</v>
      </c>
      <c r="B905" s="4">
        <v>45364</v>
      </c>
      <c r="C905" s="6">
        <v>45371</v>
      </c>
      <c r="D905" t="s">
        <v>2222</v>
      </c>
      <c r="E905" t="s">
        <v>100</v>
      </c>
      <c r="F905" t="s">
        <v>85</v>
      </c>
      <c r="G905" t="s">
        <v>50</v>
      </c>
      <c r="H905" t="s">
        <v>200</v>
      </c>
      <c r="I905" t="s">
        <v>201</v>
      </c>
      <c r="J905" t="s">
        <v>39</v>
      </c>
      <c r="K905" t="s">
        <v>134</v>
      </c>
      <c r="L905" t="s">
        <v>1538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31</v>
      </c>
      <c r="U905" t="s">
        <v>32</v>
      </c>
      <c r="V905">
        <f t="shared" si="57"/>
        <v>2401.7855</v>
      </c>
      <c r="W905">
        <f t="shared" si="58"/>
        <v>581.44550000000004</v>
      </c>
      <c r="X905">
        <f t="shared" si="59"/>
        <v>24.208885431276027</v>
      </c>
      <c r="Y905">
        <f t="shared" si="60"/>
        <v>7</v>
      </c>
      <c r="Z905" t="str" cm="1">
        <f t="array" ref="Z905">_xlfn.IFS(Y905&lt;0, "Invalid Date", ISBLANK(G905), "Missing Region", TRUE, "Clean")</f>
        <v>Clean</v>
      </c>
    </row>
    <row r="906" spans="1:26">
      <c r="A906" t="s">
        <v>670</v>
      </c>
      <c r="B906" s="4">
        <v>45313</v>
      </c>
      <c r="C906" s="6">
        <v>45314</v>
      </c>
      <c r="D906" t="s">
        <v>2563</v>
      </c>
      <c r="E906" t="s">
        <v>111</v>
      </c>
      <c r="F906" t="s">
        <v>35</v>
      </c>
      <c r="G906" t="s">
        <v>2806</v>
      </c>
      <c r="H906" t="s">
        <v>140</v>
      </c>
      <c r="I906" t="s">
        <v>141</v>
      </c>
      <c r="J906" t="s">
        <v>39</v>
      </c>
      <c r="K906" t="s">
        <v>61</v>
      </c>
      <c r="L906" t="s">
        <v>671</v>
      </c>
      <c r="M906" t="s">
        <v>30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31</v>
      </c>
      <c r="U906" t="s">
        <v>32</v>
      </c>
      <c r="V906">
        <f t="shared" si="57"/>
        <v>23198.065200000005</v>
      </c>
      <c r="W906">
        <f t="shared" si="58"/>
        <v>14784.535200000004</v>
      </c>
      <c r="X906">
        <f t="shared" si="59"/>
        <v>63.731759836591891</v>
      </c>
      <c r="Y906">
        <f t="shared" si="60"/>
        <v>1</v>
      </c>
      <c r="Z906" t="str" cm="1">
        <f t="array" ref="Z906">_xlfn.IFS(Y906&lt;0, "Invalid Date", ISBLANK(G906), "Missing Region", TRUE, "Clean")</f>
        <v>Clean</v>
      </c>
    </row>
    <row r="907" spans="1:26">
      <c r="A907" t="s">
        <v>1391</v>
      </c>
      <c r="B907" s="4">
        <v>45762</v>
      </c>
      <c r="C907" s="6">
        <v>45763</v>
      </c>
      <c r="D907" t="s">
        <v>2649</v>
      </c>
      <c r="E907" t="s">
        <v>114</v>
      </c>
      <c r="F907" t="s">
        <v>35</v>
      </c>
      <c r="G907" t="s">
        <v>50</v>
      </c>
      <c r="H907" t="s">
        <v>147</v>
      </c>
      <c r="I907" t="s">
        <v>148</v>
      </c>
      <c r="J907" t="s">
        <v>39</v>
      </c>
      <c r="K907" t="s">
        <v>53</v>
      </c>
      <c r="L907" t="s">
        <v>1392</v>
      </c>
      <c r="M907" t="s">
        <v>47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31</v>
      </c>
      <c r="U907" t="s">
        <v>32</v>
      </c>
      <c r="V907">
        <f t="shared" si="57"/>
        <v>14252.650000000001</v>
      </c>
      <c r="W907">
        <f t="shared" si="58"/>
        <v>2694.340000000002</v>
      </c>
      <c r="X907">
        <f t="shared" si="59"/>
        <v>18.904133617257155</v>
      </c>
      <c r="Y907">
        <f t="shared" si="60"/>
        <v>1</v>
      </c>
      <c r="Z907" t="str" cm="1">
        <f t="array" ref="Z907">_xlfn.IFS(Y907&lt;0, "Invalid Date", ISBLANK(G907), "Missing Region", TRUE, "Clean")</f>
        <v>Clean</v>
      </c>
    </row>
    <row r="908" spans="1:26">
      <c r="A908" t="s">
        <v>1587</v>
      </c>
      <c r="B908" s="4">
        <v>45794</v>
      </c>
      <c r="C908" s="6">
        <v>45802</v>
      </c>
      <c r="D908" t="s">
        <v>2083</v>
      </c>
      <c r="E908" t="s">
        <v>57</v>
      </c>
      <c r="F908" t="s">
        <v>81</v>
      </c>
      <c r="G908" t="s">
        <v>50</v>
      </c>
      <c r="H908" t="s">
        <v>200</v>
      </c>
      <c r="I908" t="s">
        <v>201</v>
      </c>
      <c r="J908" t="s">
        <v>68</v>
      </c>
      <c r="K908" t="s">
        <v>219</v>
      </c>
      <c r="L908" t="s">
        <v>1588</v>
      </c>
      <c r="M908" t="s">
        <v>42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31</v>
      </c>
      <c r="U908" t="s">
        <v>32</v>
      </c>
      <c r="V908">
        <f t="shared" si="57"/>
        <v>9234.2129999999997</v>
      </c>
      <c r="W908">
        <f t="shared" si="58"/>
        <v>3717.6929999999993</v>
      </c>
      <c r="X908">
        <f t="shared" si="59"/>
        <v>40.259987505161504</v>
      </c>
      <c r="Y908">
        <f t="shared" si="60"/>
        <v>8</v>
      </c>
      <c r="Z908" t="str" cm="1">
        <f t="array" ref="Z908">_xlfn.IFS(Y908&lt;0, "Invalid Date", ISBLANK(G908), "Missing Region", TRUE, "Clean")</f>
        <v>Clean</v>
      </c>
    </row>
    <row r="909" spans="1:26">
      <c r="A909" t="s">
        <v>378</v>
      </c>
      <c r="B909" s="4">
        <v>45639</v>
      </c>
      <c r="C909" s="6">
        <v>45644</v>
      </c>
      <c r="D909" t="s">
        <v>1971</v>
      </c>
      <c r="E909" t="s">
        <v>22</v>
      </c>
      <c r="F909" t="s">
        <v>23</v>
      </c>
      <c r="G909" t="s">
        <v>58</v>
      </c>
      <c r="H909" t="s">
        <v>159</v>
      </c>
      <c r="I909" t="s">
        <v>160</v>
      </c>
      <c r="J909" t="s">
        <v>68</v>
      </c>
      <c r="K909" t="s">
        <v>144</v>
      </c>
      <c r="L909" t="s">
        <v>379</v>
      </c>
      <c r="M909" t="s">
        <v>30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31</v>
      </c>
      <c r="U909" t="s">
        <v>32</v>
      </c>
      <c r="V909">
        <f t="shared" si="57"/>
        <v>22930.62</v>
      </c>
      <c r="W909">
        <f t="shared" si="58"/>
        <v>6055.07</v>
      </c>
      <c r="X909">
        <f t="shared" si="59"/>
        <v>26.406045715292475</v>
      </c>
      <c r="Y909">
        <f t="shared" si="60"/>
        <v>5</v>
      </c>
      <c r="Z909" t="str" cm="1">
        <f t="array" ref="Z909">_xlfn.IFS(Y909&lt;0, "Invalid Date", ISBLANK(G909), "Missing Region", TRUE, "Clean")</f>
        <v>Clean</v>
      </c>
    </row>
    <row r="910" spans="1:26">
      <c r="A910" t="s">
        <v>1567</v>
      </c>
      <c r="B910" s="4">
        <v>45878</v>
      </c>
      <c r="C910" s="6">
        <v>45909</v>
      </c>
      <c r="D910" t="s">
        <v>2341</v>
      </c>
      <c r="E910" t="s">
        <v>212</v>
      </c>
      <c r="F910" t="s">
        <v>81</v>
      </c>
      <c r="G910" t="s">
        <v>58</v>
      </c>
      <c r="H910" t="s">
        <v>151</v>
      </c>
      <c r="I910" t="s">
        <v>152</v>
      </c>
      <c r="J910" t="s">
        <v>27</v>
      </c>
      <c r="K910" t="s">
        <v>45</v>
      </c>
      <c r="L910" t="s">
        <v>1568</v>
      </c>
      <c r="M910" t="s">
        <v>42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31</v>
      </c>
      <c r="U910" t="s">
        <v>32</v>
      </c>
      <c r="V910">
        <f t="shared" si="57"/>
        <v>3795.8559999999998</v>
      </c>
      <c r="W910">
        <f t="shared" si="58"/>
        <v>1530.9359999999997</v>
      </c>
      <c r="X910">
        <f t="shared" si="59"/>
        <v>40.331772332775529</v>
      </c>
      <c r="Y910">
        <f t="shared" si="60"/>
        <v>31</v>
      </c>
      <c r="Z910" t="str" cm="1">
        <f t="array" ref="Z910">_xlfn.IFS(Y910&lt;0, "Invalid Date", ISBLANK(G910), "Missing Region", TRUE, "Clean")</f>
        <v>Clean</v>
      </c>
    </row>
    <row r="911" spans="1:26">
      <c r="A911" t="s">
        <v>920</v>
      </c>
      <c r="B911" s="4">
        <v>45771</v>
      </c>
      <c r="C911" s="6">
        <v>45776</v>
      </c>
      <c r="D911" t="s">
        <v>2073</v>
      </c>
      <c r="E911" t="s">
        <v>137</v>
      </c>
      <c r="F911" t="s">
        <v>35</v>
      </c>
      <c r="G911" t="s">
        <v>50</v>
      </c>
      <c r="H911" t="s">
        <v>76</v>
      </c>
      <c r="I911" t="s">
        <v>77</v>
      </c>
      <c r="J911" t="s">
        <v>27</v>
      </c>
      <c r="K911" t="s">
        <v>28</v>
      </c>
      <c r="L911" t="s">
        <v>921</v>
      </c>
      <c r="M911" t="s">
        <v>42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31</v>
      </c>
      <c r="U911" t="s">
        <v>32</v>
      </c>
      <c r="V911">
        <f t="shared" si="57"/>
        <v>3268.875</v>
      </c>
      <c r="W911">
        <f t="shared" si="58"/>
        <v>1275.135</v>
      </c>
      <c r="X911">
        <f t="shared" si="59"/>
        <v>39.008374440747964</v>
      </c>
      <c r="Y911">
        <f t="shared" si="60"/>
        <v>5</v>
      </c>
      <c r="Z911" t="str" cm="1">
        <f t="array" ref="Z911">_xlfn.IFS(Y911&lt;0, "Invalid Date", ISBLANK(G911), "Missing Region", TRUE, "Clean")</f>
        <v>Clean</v>
      </c>
    </row>
    <row r="912" spans="1:26">
      <c r="A912" t="s">
        <v>358</v>
      </c>
      <c r="B912" s="4">
        <v>45436</v>
      </c>
      <c r="C912" s="6">
        <v>45437</v>
      </c>
      <c r="D912" t="s">
        <v>2197</v>
      </c>
      <c r="E912" t="s">
        <v>114</v>
      </c>
      <c r="F912" t="s">
        <v>35</v>
      </c>
      <c r="G912" t="s">
        <v>24</v>
      </c>
      <c r="H912" t="s">
        <v>106</v>
      </c>
      <c r="I912" t="s">
        <v>107</v>
      </c>
      <c r="J912" t="s">
        <v>68</v>
      </c>
      <c r="K912" t="s">
        <v>73</v>
      </c>
      <c r="L912" t="s">
        <v>359</v>
      </c>
      <c r="M912" t="s">
        <v>42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91</v>
      </c>
      <c r="U912" t="s">
        <v>63</v>
      </c>
      <c r="V912">
        <f t="shared" si="57"/>
        <v>634.13</v>
      </c>
      <c r="W912">
        <f t="shared" si="58"/>
        <v>180.77999999999997</v>
      </c>
      <c r="X912">
        <f t="shared" si="59"/>
        <v>28.508350022865969</v>
      </c>
      <c r="Y912">
        <f t="shared" si="60"/>
        <v>1</v>
      </c>
      <c r="Z912" t="str" cm="1">
        <f t="array" ref="Z912">_xlfn.IFS(Y912&lt;0, "Invalid Date", ISBLANK(G912), "Missing Region", TRUE, "Clean")</f>
        <v>Clean</v>
      </c>
    </row>
    <row r="913" spans="1:26">
      <c r="A913" t="s">
        <v>618</v>
      </c>
      <c r="B913" s="4">
        <v>45343</v>
      </c>
      <c r="C913" s="6">
        <v>45349</v>
      </c>
      <c r="D913" t="s">
        <v>2320</v>
      </c>
      <c r="E913" t="s">
        <v>49</v>
      </c>
      <c r="F913" t="s">
        <v>35</v>
      </c>
      <c r="G913" t="s">
        <v>36</v>
      </c>
      <c r="H913" t="s">
        <v>88</v>
      </c>
      <c r="I913" t="s">
        <v>89</v>
      </c>
      <c r="J913" t="s">
        <v>39</v>
      </c>
      <c r="K913" t="s">
        <v>53</v>
      </c>
      <c r="L913" t="s">
        <v>619</v>
      </c>
      <c r="M913" t="s">
        <v>55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98</v>
      </c>
      <c r="U913" t="s">
        <v>92</v>
      </c>
      <c r="V913">
        <f t="shared" si="57"/>
        <v>14338.904999999999</v>
      </c>
      <c r="W913">
        <f t="shared" si="58"/>
        <v>2441.2549999999992</v>
      </c>
      <c r="X913">
        <f t="shared" si="59"/>
        <v>17.025393501107647</v>
      </c>
      <c r="Y913">
        <f t="shared" si="60"/>
        <v>6</v>
      </c>
      <c r="Z913" t="str" cm="1">
        <f t="array" ref="Z913">_xlfn.IFS(Y913&lt;0, "Invalid Date", ISBLANK(G913), "Missing Region", TRUE, "Clean")</f>
        <v>Clean</v>
      </c>
    </row>
    <row r="914" spans="1:26">
      <c r="A914" t="s">
        <v>874</v>
      </c>
      <c r="B914" s="4">
        <v>45801</v>
      </c>
      <c r="C914" s="6">
        <v>45807</v>
      </c>
      <c r="D914" t="s">
        <v>2225</v>
      </c>
      <c r="E914" t="s">
        <v>212</v>
      </c>
      <c r="F914" t="s">
        <v>35</v>
      </c>
      <c r="G914" t="s">
        <v>36</v>
      </c>
      <c r="H914" t="s">
        <v>37</v>
      </c>
      <c r="I914" t="s">
        <v>38</v>
      </c>
      <c r="J914" t="s">
        <v>27</v>
      </c>
      <c r="K914" t="s">
        <v>875</v>
      </c>
      <c r="L914" t="s">
        <v>876</v>
      </c>
      <c r="M914" t="s">
        <v>42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31</v>
      </c>
      <c r="U914" t="s">
        <v>32</v>
      </c>
      <c r="V914">
        <f t="shared" si="57"/>
        <v>2564.7399999999998</v>
      </c>
      <c r="W914">
        <f t="shared" si="58"/>
        <v>810.15999999999985</v>
      </c>
      <c r="X914">
        <f t="shared" si="59"/>
        <v>31.588387126960232</v>
      </c>
      <c r="Y914">
        <f t="shared" si="60"/>
        <v>6</v>
      </c>
      <c r="Z914" t="str" cm="1">
        <f t="array" ref="Z914">_xlfn.IFS(Y914&lt;0, "Invalid Date", ISBLANK(G914), "Missing Region", TRUE, "Clean")</f>
        <v>Clean</v>
      </c>
    </row>
    <row r="915" spans="1:26">
      <c r="A915" t="s">
        <v>678</v>
      </c>
      <c r="B915" s="4">
        <v>45649</v>
      </c>
      <c r="C915" s="6">
        <v>45652</v>
      </c>
      <c r="D915" t="s">
        <v>2634</v>
      </c>
      <c r="E915" t="s">
        <v>80</v>
      </c>
      <c r="F915" t="s">
        <v>23</v>
      </c>
      <c r="G915" t="s">
        <v>50</v>
      </c>
      <c r="H915" t="s">
        <v>147</v>
      </c>
      <c r="I915" t="s">
        <v>148</v>
      </c>
      <c r="J915" t="s">
        <v>68</v>
      </c>
      <c r="K915" t="s">
        <v>73</v>
      </c>
      <c r="L915" t="s">
        <v>679</v>
      </c>
      <c r="M915" t="s">
        <v>55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31</v>
      </c>
      <c r="U915" t="s">
        <v>32</v>
      </c>
      <c r="V915">
        <f t="shared" si="57"/>
        <v>8943.0299999999988</v>
      </c>
      <c r="W915">
        <f t="shared" si="58"/>
        <v>3777.6499999999987</v>
      </c>
      <c r="X915">
        <f t="shared" si="59"/>
        <v>42.241276167026157</v>
      </c>
      <c r="Y915">
        <f t="shared" si="60"/>
        <v>3</v>
      </c>
      <c r="Z915" t="str" cm="1">
        <f t="array" ref="Z915">_xlfn.IFS(Y915&lt;0, "Invalid Date", ISBLANK(G915), "Missing Region", TRUE, "Clean")</f>
        <v>Clean</v>
      </c>
    </row>
    <row r="916" spans="1:26">
      <c r="A916" t="s">
        <v>1553</v>
      </c>
      <c r="B916" s="4">
        <v>45567</v>
      </c>
      <c r="C916" s="6">
        <v>45340</v>
      </c>
      <c r="D916" t="s">
        <v>2486</v>
      </c>
      <c r="E916" t="s">
        <v>44</v>
      </c>
      <c r="F916" t="s">
        <v>85</v>
      </c>
      <c r="G916" t="s">
        <v>58</v>
      </c>
      <c r="H916" t="s">
        <v>66</v>
      </c>
      <c r="I916" t="s">
        <v>67</v>
      </c>
      <c r="J916" t="s">
        <v>39</v>
      </c>
      <c r="K916" t="s">
        <v>61</v>
      </c>
      <c r="L916" t="s">
        <v>1554</v>
      </c>
      <c r="M916" t="s">
        <v>47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31</v>
      </c>
      <c r="U916" t="s">
        <v>32</v>
      </c>
      <c r="V916">
        <f t="shared" si="57"/>
        <v>9680.0199999999986</v>
      </c>
      <c r="W916">
        <f t="shared" si="58"/>
        <v>2803.3599999999988</v>
      </c>
      <c r="X916">
        <f t="shared" si="59"/>
        <v>28.960270743242255</v>
      </c>
      <c r="Y916">
        <f t="shared" si="60"/>
        <v>-227</v>
      </c>
      <c r="Z916" t="str" cm="1">
        <f t="array" ref="Z916">_xlfn.IFS(Y916&lt;0, "Invalid Date", ISBLANK(G916), "Missing Region", TRUE, "Clean")</f>
        <v>Invalid Date</v>
      </c>
    </row>
    <row r="917" spans="1:26">
      <c r="A917" t="s">
        <v>1226</v>
      </c>
      <c r="B917" s="4">
        <v>45941</v>
      </c>
      <c r="C917" s="6">
        <v>45943</v>
      </c>
      <c r="D917" t="s">
        <v>2762</v>
      </c>
      <c r="E917" t="s">
        <v>34</v>
      </c>
      <c r="F917" t="s">
        <v>81</v>
      </c>
      <c r="G917" t="s">
        <v>50</v>
      </c>
      <c r="H917" t="s">
        <v>51</v>
      </c>
      <c r="I917" t="s">
        <v>52</v>
      </c>
      <c r="J917" t="s">
        <v>27</v>
      </c>
      <c r="K917" t="s">
        <v>45</v>
      </c>
      <c r="L917" t="s">
        <v>1227</v>
      </c>
      <c r="M917" t="s">
        <v>30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31</v>
      </c>
      <c r="U917" t="s">
        <v>32</v>
      </c>
      <c r="V917">
        <f t="shared" si="57"/>
        <v>10271.529</v>
      </c>
      <c r="W917">
        <f t="shared" si="58"/>
        <v>1999.2890000000007</v>
      </c>
      <c r="X917">
        <f t="shared" si="59"/>
        <v>19.464375751652948</v>
      </c>
      <c r="Y917">
        <f t="shared" si="60"/>
        <v>2</v>
      </c>
      <c r="Z917" t="str" cm="1">
        <f t="array" ref="Z917">_xlfn.IFS(Y917&lt;0, "Invalid Date", ISBLANK(G917), "Missing Region", TRUE, "Clean")</f>
        <v>Clean</v>
      </c>
    </row>
    <row r="918" spans="1:26">
      <c r="A918" t="s">
        <v>1829</v>
      </c>
      <c r="B918" s="4">
        <v>45446</v>
      </c>
      <c r="C918" s="6">
        <v>45629</v>
      </c>
      <c r="D918" t="s">
        <v>2077</v>
      </c>
      <c r="E918" t="s">
        <v>44</v>
      </c>
      <c r="F918" t="s">
        <v>85</v>
      </c>
      <c r="G918" t="s">
        <v>58</v>
      </c>
      <c r="H918" t="s">
        <v>151</v>
      </c>
      <c r="I918" t="s">
        <v>152</v>
      </c>
      <c r="J918" t="s">
        <v>39</v>
      </c>
      <c r="K918" t="s">
        <v>134</v>
      </c>
      <c r="L918" t="s">
        <v>1830</v>
      </c>
      <c r="M918" t="s">
        <v>55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31</v>
      </c>
      <c r="U918" t="s">
        <v>32</v>
      </c>
      <c r="V918">
        <f t="shared" si="57"/>
        <v>1631.1120000000001</v>
      </c>
      <c r="W918">
        <f t="shared" si="58"/>
        <v>732.38200000000006</v>
      </c>
      <c r="X918">
        <f t="shared" si="59"/>
        <v>44.900779345624336</v>
      </c>
      <c r="Y918">
        <f t="shared" si="60"/>
        <v>183</v>
      </c>
      <c r="Z918" t="str" cm="1">
        <f t="array" ref="Z918">_xlfn.IFS(Y918&lt;0, "Invalid Date", ISBLANK(G918), "Missing Region", TRUE, "Clean")</f>
        <v>Clean</v>
      </c>
    </row>
    <row r="919" spans="1:26">
      <c r="A919" t="s">
        <v>366</v>
      </c>
      <c r="B919" s="4">
        <v>45687</v>
      </c>
      <c r="C919" s="6">
        <v>45683</v>
      </c>
      <c r="D919" t="s">
        <v>2601</v>
      </c>
      <c r="E919" t="s">
        <v>100</v>
      </c>
      <c r="F919" t="s">
        <v>81</v>
      </c>
      <c r="G919" t="s">
        <v>58</v>
      </c>
      <c r="H919" t="s">
        <v>66</v>
      </c>
      <c r="I919" t="s">
        <v>67</v>
      </c>
      <c r="J919" t="s">
        <v>27</v>
      </c>
      <c r="K919" t="s">
        <v>108</v>
      </c>
      <c r="L919" t="s">
        <v>367</v>
      </c>
      <c r="M919" t="s">
        <v>30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31</v>
      </c>
      <c r="U919" t="s">
        <v>32</v>
      </c>
      <c r="V919">
        <f t="shared" si="57"/>
        <v>5774.67</v>
      </c>
      <c r="W919">
        <f t="shared" si="58"/>
        <v>2256.31</v>
      </c>
      <c r="X919">
        <f t="shared" si="59"/>
        <v>39.072535746631409</v>
      </c>
      <c r="Y919">
        <f t="shared" si="60"/>
        <v>-4</v>
      </c>
      <c r="Z919" t="str" cm="1">
        <f t="array" ref="Z919">_xlfn.IFS(Y919&lt;0, "Invalid Date", ISBLANK(G919), "Missing Region", TRUE, "Clean")</f>
        <v>Invalid Date</v>
      </c>
    </row>
    <row r="920" spans="1:26">
      <c r="A920" t="s">
        <v>1481</v>
      </c>
      <c r="B920" s="4">
        <v>45911</v>
      </c>
      <c r="C920" s="6">
        <v>45918</v>
      </c>
      <c r="D920" t="s">
        <v>1957</v>
      </c>
      <c r="E920" t="s">
        <v>103</v>
      </c>
      <c r="F920" t="s">
        <v>35</v>
      </c>
      <c r="G920" t="s">
        <v>24</v>
      </c>
      <c r="H920" t="s">
        <v>270</v>
      </c>
      <c r="I920" t="s">
        <v>271</v>
      </c>
      <c r="J920" t="s">
        <v>68</v>
      </c>
      <c r="K920" t="s">
        <v>144</v>
      </c>
      <c r="L920" t="s">
        <v>1482</v>
      </c>
      <c r="M920" t="s">
        <v>42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31</v>
      </c>
      <c r="U920" t="s">
        <v>32</v>
      </c>
      <c r="V920">
        <f t="shared" si="57"/>
        <v>20296.699499999999</v>
      </c>
      <c r="W920">
        <f t="shared" si="58"/>
        <v>5375.829499999998</v>
      </c>
      <c r="X920">
        <f t="shared" si="59"/>
        <v>26.486225014071863</v>
      </c>
      <c r="Y920">
        <f t="shared" si="60"/>
        <v>7</v>
      </c>
      <c r="Z920" t="str" cm="1">
        <f t="array" ref="Z920">_xlfn.IFS(Y920&lt;0, "Invalid Date", ISBLANK(G920), "Missing Region", TRUE, "Clean")</f>
        <v>Clean</v>
      </c>
    </row>
    <row r="921" spans="1:26">
      <c r="A921" t="s">
        <v>71</v>
      </c>
      <c r="B921" s="4">
        <v>45757</v>
      </c>
      <c r="C921" s="6">
        <v>45763</v>
      </c>
      <c r="D921" t="s">
        <v>2276</v>
      </c>
      <c r="E921" t="s">
        <v>72</v>
      </c>
      <c r="F921" t="s">
        <v>23</v>
      </c>
      <c r="G921" t="s">
        <v>36</v>
      </c>
      <c r="H921" t="s">
        <v>37</v>
      </c>
      <c r="I921" t="s">
        <v>38</v>
      </c>
      <c r="J921" t="s">
        <v>68</v>
      </c>
      <c r="K921" t="s">
        <v>73</v>
      </c>
      <c r="L921" t="s">
        <v>74</v>
      </c>
      <c r="M921" t="s">
        <v>55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31</v>
      </c>
      <c r="U921" t="s">
        <v>32</v>
      </c>
      <c r="V921">
        <f t="shared" si="57"/>
        <v>5847.5579999999991</v>
      </c>
      <c r="W921">
        <f t="shared" si="58"/>
        <v>1120.3079999999991</v>
      </c>
      <c r="X921">
        <f t="shared" si="59"/>
        <v>19.158561573908276</v>
      </c>
      <c r="Y921">
        <f t="shared" si="60"/>
        <v>6</v>
      </c>
      <c r="Z921" t="str" cm="1">
        <f t="array" ref="Z921">_xlfn.IFS(Y921&lt;0, "Invalid Date", ISBLANK(G921), "Missing Region", TRUE, "Clean")</f>
        <v>Clean</v>
      </c>
    </row>
    <row r="922" spans="1:26">
      <c r="A922" t="s">
        <v>780</v>
      </c>
      <c r="B922" s="4">
        <v>45394</v>
      </c>
      <c r="C922" s="6">
        <v>45455</v>
      </c>
      <c r="D922" t="s">
        <v>2041</v>
      </c>
      <c r="E922" t="s">
        <v>114</v>
      </c>
      <c r="F922" t="s">
        <v>85</v>
      </c>
      <c r="G922" t="s">
        <v>36</v>
      </c>
      <c r="H922" t="s">
        <v>37</v>
      </c>
      <c r="I922" t="s">
        <v>38</v>
      </c>
      <c r="J922" t="s">
        <v>27</v>
      </c>
      <c r="K922" t="s">
        <v>130</v>
      </c>
      <c r="L922" t="s">
        <v>781</v>
      </c>
      <c r="M922" t="s">
        <v>30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31</v>
      </c>
      <c r="U922" t="s">
        <v>32</v>
      </c>
      <c r="V922">
        <f t="shared" si="57"/>
        <v>10742.64</v>
      </c>
      <c r="W922">
        <f t="shared" si="58"/>
        <v>4265.2699999999995</v>
      </c>
      <c r="X922">
        <f t="shared" si="59"/>
        <v>39.704113700170538</v>
      </c>
      <c r="Y922">
        <f t="shared" si="60"/>
        <v>61</v>
      </c>
      <c r="Z922" t="str" cm="1">
        <f t="array" ref="Z922">_xlfn.IFS(Y922&lt;0, "Invalid Date", ISBLANK(G922), "Missing Region", TRUE, "Clean")</f>
        <v>Clean</v>
      </c>
    </row>
    <row r="923" spans="1:26">
      <c r="A923" t="s">
        <v>291</v>
      </c>
      <c r="B923" s="4">
        <v>45893</v>
      </c>
      <c r="C923" s="6">
        <v>45898</v>
      </c>
      <c r="D923" t="s">
        <v>2316</v>
      </c>
      <c r="E923" t="s">
        <v>111</v>
      </c>
      <c r="F923" t="s">
        <v>35</v>
      </c>
      <c r="G923" t="s">
        <v>36</v>
      </c>
      <c r="H923" t="s">
        <v>124</v>
      </c>
      <c r="I923" t="s">
        <v>125</v>
      </c>
      <c r="J923" t="s">
        <v>68</v>
      </c>
      <c r="K923" t="s">
        <v>73</v>
      </c>
      <c r="L923" t="s">
        <v>292</v>
      </c>
      <c r="M923" t="s">
        <v>47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31</v>
      </c>
      <c r="U923" t="s">
        <v>92</v>
      </c>
      <c r="V923">
        <f t="shared" si="57"/>
        <v>9445.098</v>
      </c>
      <c r="W923">
        <f t="shared" si="58"/>
        <v>3858.8180000000002</v>
      </c>
      <c r="X923">
        <f t="shared" si="59"/>
        <v>40.855245758170007</v>
      </c>
      <c r="Y923">
        <f t="shared" si="60"/>
        <v>5</v>
      </c>
      <c r="Z923" t="str" cm="1">
        <f t="array" ref="Z923">_xlfn.IFS(Y923&lt;0, "Invalid Date", ISBLANK(G923), "Missing Region", TRUE, "Clean")</f>
        <v>Clean</v>
      </c>
    </row>
    <row r="924" spans="1:26">
      <c r="A924" t="s">
        <v>866</v>
      </c>
      <c r="B924" s="4">
        <v>45760</v>
      </c>
      <c r="C924" s="6">
        <v>45760</v>
      </c>
      <c r="D924" t="s">
        <v>2171</v>
      </c>
      <c r="E924" t="s">
        <v>114</v>
      </c>
      <c r="F924" t="s">
        <v>35</v>
      </c>
      <c r="G924" t="s">
        <v>24</v>
      </c>
      <c r="H924" t="s">
        <v>117</v>
      </c>
      <c r="I924" t="s">
        <v>118</v>
      </c>
      <c r="J924" t="s">
        <v>27</v>
      </c>
      <c r="K924" t="s">
        <v>108</v>
      </c>
      <c r="L924" t="s">
        <v>867</v>
      </c>
      <c r="M924" t="s">
        <v>30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31</v>
      </c>
      <c r="U924" t="s">
        <v>92</v>
      </c>
      <c r="V924">
        <f t="shared" si="57"/>
        <v>10068.120000000001</v>
      </c>
      <c r="W924">
        <f t="shared" si="58"/>
        <v>1472.75</v>
      </c>
      <c r="X924">
        <f t="shared" si="59"/>
        <v>14.627855051389933</v>
      </c>
      <c r="Y924">
        <f t="shared" si="60"/>
        <v>0</v>
      </c>
      <c r="Z924" t="str" cm="1">
        <f t="array" ref="Z924">_xlfn.IFS(Y924&lt;0, "Invalid Date", ISBLANK(G924), "Missing Region", TRUE, "Clean")</f>
        <v>Clean</v>
      </c>
    </row>
    <row r="925" spans="1:26">
      <c r="A925" t="s">
        <v>564</v>
      </c>
      <c r="B925" s="4">
        <v>45932</v>
      </c>
      <c r="C925" s="6">
        <v>45879</v>
      </c>
      <c r="D925" t="s">
        <v>2259</v>
      </c>
      <c r="E925" t="s">
        <v>44</v>
      </c>
      <c r="F925" t="s">
        <v>35</v>
      </c>
      <c r="G925" t="s">
        <v>24</v>
      </c>
      <c r="H925" t="s">
        <v>106</v>
      </c>
      <c r="I925" t="s">
        <v>107</v>
      </c>
      <c r="J925" t="s">
        <v>39</v>
      </c>
      <c r="K925" t="s">
        <v>53</v>
      </c>
      <c r="L925" t="s">
        <v>565</v>
      </c>
      <c r="M925" t="s">
        <v>55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31</v>
      </c>
      <c r="U925" t="s">
        <v>92</v>
      </c>
      <c r="V925">
        <f t="shared" si="57"/>
        <v>11833.92</v>
      </c>
      <c r="W925">
        <f t="shared" si="58"/>
        <v>5151</v>
      </c>
      <c r="X925">
        <f t="shared" si="59"/>
        <v>43.527419485681833</v>
      </c>
      <c r="Y925">
        <f t="shared" si="60"/>
        <v>-53</v>
      </c>
      <c r="Z925" t="str" cm="1">
        <f t="array" ref="Z925">_xlfn.IFS(Y925&lt;0, "Invalid Date", ISBLANK(G925), "Missing Region", TRUE, "Clean")</f>
        <v>Invalid Date</v>
      </c>
    </row>
    <row r="926" spans="1:26">
      <c r="A926" t="s">
        <v>747</v>
      </c>
      <c r="B926" s="4">
        <v>45795</v>
      </c>
      <c r="C926" s="6">
        <v>45797</v>
      </c>
      <c r="D926" t="s">
        <v>2119</v>
      </c>
      <c r="E926" t="s">
        <v>44</v>
      </c>
      <c r="F926" t="s">
        <v>81</v>
      </c>
      <c r="G926" t="s">
        <v>58</v>
      </c>
      <c r="H926" t="s">
        <v>66</v>
      </c>
      <c r="I926" t="s">
        <v>67</v>
      </c>
      <c r="J926" t="s">
        <v>27</v>
      </c>
      <c r="K926" t="s">
        <v>82</v>
      </c>
      <c r="L926" t="s">
        <v>748</v>
      </c>
      <c r="M926" t="s">
        <v>55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132</v>
      </c>
      <c r="U926" t="s">
        <v>32</v>
      </c>
      <c r="V926">
        <f t="shared" si="57"/>
        <v>6485.3639999999996</v>
      </c>
      <c r="W926">
        <f t="shared" si="58"/>
        <v>1109.1939999999995</v>
      </c>
      <c r="X926">
        <f t="shared" si="59"/>
        <v>17.103033846673828</v>
      </c>
      <c r="Y926">
        <f t="shared" si="60"/>
        <v>2</v>
      </c>
      <c r="Z926" t="str" cm="1">
        <f t="array" ref="Z926">_xlfn.IFS(Y926&lt;0, "Invalid Date", ISBLANK(G926), "Missing Region", TRUE, "Clean")</f>
        <v>Clean</v>
      </c>
    </row>
    <row r="927" spans="1:26">
      <c r="A927" t="s">
        <v>454</v>
      </c>
      <c r="B927" s="4">
        <v>45847</v>
      </c>
      <c r="C927" s="6">
        <v>45915</v>
      </c>
      <c r="D927" t="s">
        <v>2365</v>
      </c>
      <c r="E927" t="s">
        <v>121</v>
      </c>
      <c r="F927" t="s">
        <v>81</v>
      </c>
      <c r="G927" t="s">
        <v>36</v>
      </c>
      <c r="H927" t="s">
        <v>124</v>
      </c>
      <c r="I927" t="s">
        <v>125</v>
      </c>
      <c r="J927" t="s">
        <v>68</v>
      </c>
      <c r="K927" t="s">
        <v>73</v>
      </c>
      <c r="L927" t="s">
        <v>455</v>
      </c>
      <c r="M927" t="s">
        <v>55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31</v>
      </c>
      <c r="U927" t="s">
        <v>92</v>
      </c>
      <c r="V927">
        <f t="shared" si="57"/>
        <v>5133.96</v>
      </c>
      <c r="W927">
        <f t="shared" si="58"/>
        <v>1203.96</v>
      </c>
      <c r="X927">
        <f t="shared" si="59"/>
        <v>23.450903396208776</v>
      </c>
      <c r="Y927">
        <f t="shared" si="60"/>
        <v>68</v>
      </c>
      <c r="Z927" t="str" cm="1">
        <f t="array" ref="Z927">_xlfn.IFS(Y927&lt;0, "Invalid Date", ISBLANK(G927), "Missing Region", TRUE, "Clean")</f>
        <v>Clean</v>
      </c>
    </row>
    <row r="928" spans="1:26">
      <c r="A928" t="s">
        <v>969</v>
      </c>
      <c r="B928" s="4">
        <v>45342</v>
      </c>
      <c r="C928" s="6">
        <v>45349</v>
      </c>
      <c r="D928" t="s">
        <v>2508</v>
      </c>
      <c r="E928" t="s">
        <v>137</v>
      </c>
      <c r="F928" t="s">
        <v>23</v>
      </c>
      <c r="G928" t="s">
        <v>50</v>
      </c>
      <c r="H928" t="s">
        <v>155</v>
      </c>
      <c r="I928" t="s">
        <v>156</v>
      </c>
      <c r="J928" t="s">
        <v>68</v>
      </c>
      <c r="K928" t="s">
        <v>69</v>
      </c>
      <c r="L928" t="s">
        <v>970</v>
      </c>
      <c r="M928" t="s">
        <v>971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31</v>
      </c>
      <c r="U928" t="s">
        <v>92</v>
      </c>
      <c r="V928">
        <f t="shared" si="57"/>
        <v>27211.032000000003</v>
      </c>
      <c r="W928">
        <f t="shared" si="58"/>
        <v>9270.6020000000026</v>
      </c>
      <c r="X928">
        <f t="shared" si="59"/>
        <v>34.069277490100347</v>
      </c>
      <c r="Y928">
        <f t="shared" si="60"/>
        <v>7</v>
      </c>
      <c r="Z928" t="str" cm="1">
        <f t="array" ref="Z928">_xlfn.IFS(Y928&lt;0, "Invalid Date", ISBLANK(G928), "Missing Region", TRUE, "Clean")</f>
        <v>Clean</v>
      </c>
    </row>
    <row r="929" spans="1:26">
      <c r="A929" t="s">
        <v>1269</v>
      </c>
      <c r="B929" s="4">
        <v>45932</v>
      </c>
      <c r="C929" s="6">
        <v>45702</v>
      </c>
      <c r="D929" t="s">
        <v>2092</v>
      </c>
      <c r="E929" t="s">
        <v>100</v>
      </c>
      <c r="F929" t="s">
        <v>35</v>
      </c>
      <c r="G929" t="s">
        <v>24</v>
      </c>
      <c r="H929" t="s">
        <v>117</v>
      </c>
      <c r="I929" t="s">
        <v>118</v>
      </c>
      <c r="J929" t="s">
        <v>68</v>
      </c>
      <c r="K929" t="s">
        <v>144</v>
      </c>
      <c r="L929" t="s">
        <v>1270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132</v>
      </c>
      <c r="U929" t="s">
        <v>32</v>
      </c>
      <c r="V929">
        <f t="shared" si="57"/>
        <v>21381.45</v>
      </c>
      <c r="W929">
        <f t="shared" si="58"/>
        <v>8141.2400000000016</v>
      </c>
      <c r="X929">
        <f t="shared" si="59"/>
        <v>38.076182859441246</v>
      </c>
      <c r="Y929">
        <f t="shared" si="60"/>
        <v>-230</v>
      </c>
      <c r="Z929" t="str" cm="1">
        <f t="array" ref="Z929">_xlfn.IFS(Y929&lt;0, "Invalid Date", ISBLANK(G929), "Missing Region", TRUE, "Clean")</f>
        <v>Invalid Date</v>
      </c>
    </row>
    <row r="930" spans="1:26">
      <c r="A930" t="s">
        <v>397</v>
      </c>
      <c r="B930" s="4">
        <v>45381</v>
      </c>
      <c r="C930" s="6">
        <v>45377</v>
      </c>
      <c r="D930" t="s">
        <v>2218</v>
      </c>
      <c r="E930" t="s">
        <v>80</v>
      </c>
      <c r="F930" t="s">
        <v>85</v>
      </c>
      <c r="G930" t="s">
        <v>24</v>
      </c>
      <c r="H930" t="s">
        <v>25</v>
      </c>
      <c r="I930" t="s">
        <v>26</v>
      </c>
      <c r="J930" t="s">
        <v>68</v>
      </c>
      <c r="K930" t="s">
        <v>144</v>
      </c>
      <c r="L930" t="s">
        <v>398</v>
      </c>
      <c r="M930" t="s">
        <v>30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31</v>
      </c>
      <c r="U930" t="s">
        <v>92</v>
      </c>
      <c r="V930">
        <f t="shared" si="57"/>
        <v>3857.0449999999996</v>
      </c>
      <c r="W930">
        <f t="shared" si="58"/>
        <v>1087.7849999999994</v>
      </c>
      <c r="X930">
        <f t="shared" si="59"/>
        <v>28.202548842442845</v>
      </c>
      <c r="Y930">
        <f t="shared" si="60"/>
        <v>-4</v>
      </c>
      <c r="Z930" t="str" cm="1">
        <f t="array" ref="Z930">_xlfn.IFS(Y930&lt;0, "Invalid Date", ISBLANK(G930), "Missing Region", TRUE, "Clean")</f>
        <v>Invalid Date</v>
      </c>
    </row>
    <row r="931" spans="1:26">
      <c r="A931" t="s">
        <v>662</v>
      </c>
      <c r="B931" s="4">
        <v>45522</v>
      </c>
      <c r="C931" s="6">
        <v>45528</v>
      </c>
      <c r="D931" t="s">
        <v>2073</v>
      </c>
      <c r="E931" t="s">
        <v>49</v>
      </c>
      <c r="F931" t="s">
        <v>23</v>
      </c>
      <c r="G931" t="s">
        <v>50</v>
      </c>
      <c r="H931" t="s">
        <v>76</v>
      </c>
      <c r="I931" t="s">
        <v>77</v>
      </c>
      <c r="J931" t="s">
        <v>39</v>
      </c>
      <c r="K931" t="s">
        <v>61</v>
      </c>
      <c r="L931" t="s">
        <v>663</v>
      </c>
      <c r="M931" t="s">
        <v>47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31</v>
      </c>
      <c r="U931" t="s">
        <v>92</v>
      </c>
      <c r="V931">
        <f t="shared" si="57"/>
        <v>3510.4230000000002</v>
      </c>
      <c r="W931">
        <f t="shared" si="58"/>
        <v>1318.9230000000002</v>
      </c>
      <c r="X931">
        <f t="shared" si="59"/>
        <v>37.57162598353532</v>
      </c>
      <c r="Y931">
        <f t="shared" si="60"/>
        <v>6</v>
      </c>
      <c r="Z931" t="str" cm="1">
        <f t="array" ref="Z931">_xlfn.IFS(Y931&lt;0, "Invalid Date", ISBLANK(G931), "Missing Region", TRUE, "Clean")</f>
        <v>Clean</v>
      </c>
    </row>
    <row r="932" spans="1:26">
      <c r="A932" t="s">
        <v>358</v>
      </c>
      <c r="B932" s="4">
        <v>45436</v>
      </c>
      <c r="C932" s="6">
        <v>45437</v>
      </c>
      <c r="D932" t="s">
        <v>2280</v>
      </c>
      <c r="E932" t="s">
        <v>114</v>
      </c>
      <c r="F932" t="s">
        <v>35</v>
      </c>
      <c r="G932" t="s">
        <v>24</v>
      </c>
      <c r="H932" t="s">
        <v>106</v>
      </c>
      <c r="I932" t="s">
        <v>107</v>
      </c>
      <c r="J932" t="s">
        <v>68</v>
      </c>
      <c r="K932" t="s">
        <v>73</v>
      </c>
      <c r="L932" t="s">
        <v>359</v>
      </c>
      <c r="M932" t="s">
        <v>42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91</v>
      </c>
      <c r="U932" t="s">
        <v>92</v>
      </c>
      <c r="V932">
        <f t="shared" si="57"/>
        <v>634.13</v>
      </c>
      <c r="W932">
        <f t="shared" si="58"/>
        <v>180.77999999999997</v>
      </c>
      <c r="X932">
        <f t="shared" si="59"/>
        <v>28.508350022865969</v>
      </c>
      <c r="Y932">
        <f t="shared" si="60"/>
        <v>1</v>
      </c>
      <c r="Z932" t="str" cm="1">
        <f t="array" ref="Z932">_xlfn.IFS(Y932&lt;0, "Invalid Date", ISBLANK(G932), "Missing Region", TRUE, "Clean")</f>
        <v>Clean</v>
      </c>
    </row>
    <row r="933" spans="1:26">
      <c r="A933" t="s">
        <v>789</v>
      </c>
      <c r="B933" s="4">
        <v>45824</v>
      </c>
      <c r="C933" s="6">
        <v>45826</v>
      </c>
      <c r="D933" t="s">
        <v>790</v>
      </c>
      <c r="E933" t="s">
        <v>103</v>
      </c>
      <c r="F933" t="s">
        <v>85</v>
      </c>
      <c r="G933" t="s">
        <v>58</v>
      </c>
      <c r="H933" t="s">
        <v>66</v>
      </c>
      <c r="I933" t="s">
        <v>67</v>
      </c>
      <c r="J933" t="s">
        <v>27</v>
      </c>
      <c r="K933" t="s">
        <v>28</v>
      </c>
      <c r="L933" t="s">
        <v>791</v>
      </c>
      <c r="M933" t="s">
        <v>47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31</v>
      </c>
      <c r="U933" t="s">
        <v>92</v>
      </c>
      <c r="V933">
        <f t="shared" si="57"/>
        <v>11581.299000000001</v>
      </c>
      <c r="W933">
        <f t="shared" si="58"/>
        <v>4751.8690000000006</v>
      </c>
      <c r="X933">
        <f t="shared" si="59"/>
        <v>41.030535521101733</v>
      </c>
      <c r="Y933">
        <f t="shared" si="60"/>
        <v>2</v>
      </c>
      <c r="Z933" t="str" cm="1">
        <f t="array" ref="Z933">_xlfn.IFS(Y933&lt;0, "Invalid Date", ISBLANK(G933), "Missing Region", TRUE, "Clean")</f>
        <v>Clean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opLeftCell="A3" workbookViewId="0"/>
  </sheetViews>
  <sheetFormatPr defaultRowHeight="14.25"/>
  <cols>
    <col min="1" max="2" width="28" customWidth="1"/>
  </cols>
  <sheetData>
    <row r="1" spans="1:2" ht="27.95" customHeight="1">
      <c r="A1" s="1" t="s">
        <v>1930</v>
      </c>
      <c r="B1" s="1" t="s">
        <v>1931</v>
      </c>
    </row>
    <row r="2" spans="1:2" ht="42.75">
      <c r="A2" s="2" t="s">
        <v>1932</v>
      </c>
      <c r="B2" s="2" t="s">
        <v>1933</v>
      </c>
    </row>
    <row r="3" spans="1:2" ht="28.5">
      <c r="A3" s="2" t="s">
        <v>1934</v>
      </c>
      <c r="B3" s="2" t="s">
        <v>1935</v>
      </c>
    </row>
    <row r="4" spans="1:2" ht="28.5">
      <c r="A4" s="2" t="s">
        <v>1936</v>
      </c>
      <c r="B4" s="2" t="s">
        <v>1935</v>
      </c>
    </row>
    <row r="5" spans="1:2" ht="28.5">
      <c r="A5" s="2" t="s">
        <v>1937</v>
      </c>
      <c r="B5" s="2" t="s">
        <v>1938</v>
      </c>
    </row>
    <row r="6" spans="1:2" ht="42.75">
      <c r="A6" s="2" t="s">
        <v>1939</v>
      </c>
      <c r="B6" s="2" t="s">
        <v>1940</v>
      </c>
    </row>
    <row r="7" spans="1:2" ht="57">
      <c r="A7" s="2" t="s">
        <v>1941</v>
      </c>
      <c r="B7" s="2" t="s">
        <v>1942</v>
      </c>
    </row>
    <row r="8" spans="1:2" ht="28.5">
      <c r="A8" s="2" t="s">
        <v>1943</v>
      </c>
      <c r="B8" s="2" t="s">
        <v>1944</v>
      </c>
    </row>
    <row r="9" spans="1:2" ht="42.75">
      <c r="A9" s="2" t="s">
        <v>1945</v>
      </c>
      <c r="B9" s="2" t="s">
        <v>1946</v>
      </c>
    </row>
    <row r="10" spans="1:2" ht="71.25">
      <c r="A10" s="2" t="s">
        <v>1947</v>
      </c>
      <c r="B10" s="2" t="s">
        <v>1948</v>
      </c>
    </row>
    <row r="11" spans="1:2" ht="42.75">
      <c r="A11" s="2" t="s">
        <v>1949</v>
      </c>
      <c r="B11" s="2" t="s">
        <v>1950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Pegu</dc:creator>
  <cp:lastModifiedBy>Supriya Pegu</cp:lastModifiedBy>
  <dcterms:created xsi:type="dcterms:W3CDTF">2026-06-28T15:45:12Z</dcterms:created>
  <dcterms:modified xsi:type="dcterms:W3CDTF">2026-06-28T18:02:17Z</dcterms:modified>
</cp:coreProperties>
</file>